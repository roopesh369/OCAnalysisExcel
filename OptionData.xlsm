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DB0166A-9C26-40A8-B4DA-692B566332DF}" xr6:coauthVersionLast="36" xr6:coauthVersionMax="36" xr10:uidLastSave="{00000000-0000-0000-0000-000000000000}"/>
  <bookViews>
    <workbookView xWindow="0" yWindow="0" windowWidth="20490" windowHeight="7545" activeTab="3" xr2:uid="{AC22B4F0-3186-4086-B9AD-41469EB99EE2}"/>
  </bookViews>
  <sheets>
    <sheet name="Nifty" sheetId="2" r:id="rId1"/>
    <sheet name="BankNifty" sheetId="1" r:id="rId2"/>
    <sheet name="Cookies" sheetId="3" r:id="rId3"/>
    <sheet name="Calculations" sheetId="4" r:id="rId4"/>
  </sheets>
  <definedNames>
    <definedName name="_xlnm._FilterDatabase" localSheetId="3" hidden="1">Calculations!$J$1:$J$2</definedName>
    <definedName name="ExternalData_1" localSheetId="0" hidden="1">Nifty!$B$4:$M$113</definedName>
    <definedName name="ExternalData_3" localSheetId="1" hidden="1">BankNifty!$B$4:$M$102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K2" i="4"/>
  <c r="J2" i="4" l="1"/>
  <c r="B7" i="3"/>
  <c r="O14" i="4" l="1"/>
  <c r="E14" i="4"/>
  <c r="Q14" i="4" l="1"/>
  <c r="L14" i="4"/>
  <c r="R14" i="4"/>
  <c r="M14" i="4"/>
  <c r="K14" i="4"/>
  <c r="S14" i="4"/>
  <c r="N14" i="4"/>
  <c r="P14" i="4"/>
  <c r="E15" i="4"/>
  <c r="F14" i="4"/>
  <c r="A14" i="4"/>
  <c r="G14" i="4"/>
  <c r="D14" i="4"/>
  <c r="C14" i="4"/>
  <c r="H14" i="4"/>
  <c r="B14" i="4"/>
  <c r="I14" i="4"/>
  <c r="O13" i="4"/>
  <c r="O15" i="4"/>
  <c r="E13" i="4"/>
  <c r="Q15" i="4" l="1"/>
  <c r="L15" i="4"/>
  <c r="R15" i="4"/>
  <c r="M15" i="4"/>
  <c r="P15" i="4"/>
  <c r="S15" i="4"/>
  <c r="N15" i="4"/>
  <c r="K15" i="4"/>
  <c r="Q13" i="4"/>
  <c r="L13" i="4"/>
  <c r="R13" i="4"/>
  <c r="M13" i="4"/>
  <c r="P13" i="4"/>
  <c r="S13" i="4"/>
  <c r="N13" i="4"/>
  <c r="K13" i="4"/>
  <c r="F13" i="4"/>
  <c r="D13" i="4"/>
  <c r="C13" i="4"/>
  <c r="G13" i="4"/>
  <c r="B13" i="4"/>
  <c r="H13" i="4"/>
  <c r="I13" i="4"/>
  <c r="A13" i="4"/>
  <c r="E16" i="4"/>
  <c r="F15" i="4"/>
  <c r="G15" i="4"/>
  <c r="A15" i="4"/>
  <c r="H15" i="4"/>
  <c r="D15" i="4"/>
  <c r="C15" i="4"/>
  <c r="B15" i="4"/>
  <c r="I15" i="4"/>
  <c r="E12" i="4"/>
  <c r="O16" i="4"/>
  <c r="O12" i="4"/>
  <c r="Q12" i="4" l="1"/>
  <c r="L12" i="4"/>
  <c r="R12" i="4"/>
  <c r="M12" i="4"/>
  <c r="K12" i="4"/>
  <c r="S12" i="4"/>
  <c r="N12" i="4"/>
  <c r="P12" i="4"/>
  <c r="Q16" i="4"/>
  <c r="L16" i="4"/>
  <c r="K16" i="4"/>
  <c r="R16" i="4"/>
  <c r="M16" i="4"/>
  <c r="S16" i="4"/>
  <c r="N16" i="4"/>
  <c r="P16" i="4"/>
  <c r="E17" i="4"/>
  <c r="F16" i="4"/>
  <c r="B16" i="4"/>
  <c r="G16" i="4"/>
  <c r="H16" i="4"/>
  <c r="A16" i="4"/>
  <c r="D16" i="4"/>
  <c r="C16" i="4"/>
  <c r="I16" i="4"/>
  <c r="F12" i="4"/>
  <c r="B12" i="4"/>
  <c r="G12" i="4"/>
  <c r="H12" i="4"/>
  <c r="A12" i="4"/>
  <c r="D12" i="4"/>
  <c r="C12" i="4"/>
  <c r="I12" i="4"/>
  <c r="O11" i="4"/>
  <c r="O17" i="4"/>
  <c r="E11" i="4"/>
  <c r="Q17" i="4" l="1"/>
  <c r="L17" i="4"/>
  <c r="R17" i="4"/>
  <c r="M17" i="4"/>
  <c r="P17" i="4"/>
  <c r="K17" i="4"/>
  <c r="S17" i="4"/>
  <c r="N17" i="4"/>
  <c r="Q11" i="4"/>
  <c r="L11" i="4"/>
  <c r="K11" i="4"/>
  <c r="R11" i="4"/>
  <c r="M11" i="4"/>
  <c r="P11" i="4"/>
  <c r="S11" i="4"/>
  <c r="N11" i="4"/>
  <c r="F11" i="4"/>
  <c r="G11" i="4"/>
  <c r="A11" i="4"/>
  <c r="H11" i="4"/>
  <c r="D11" i="4"/>
  <c r="C11" i="4"/>
  <c r="I11" i="4"/>
  <c r="B11" i="4"/>
  <c r="E18" i="4"/>
  <c r="F17" i="4"/>
  <c r="D17" i="4"/>
  <c r="C17" i="4"/>
  <c r="G17" i="4"/>
  <c r="B17" i="4"/>
  <c r="H17" i="4"/>
  <c r="A17" i="4"/>
  <c r="I17" i="4"/>
  <c r="E10" i="4"/>
  <c r="O18" i="4"/>
  <c r="O10" i="4"/>
  <c r="Q10" i="4" l="1"/>
  <c r="L10" i="4"/>
  <c r="R10" i="4"/>
  <c r="M10" i="4"/>
  <c r="K10" i="4"/>
  <c r="S10" i="4"/>
  <c r="N10" i="4"/>
  <c r="P10" i="4"/>
  <c r="Q18" i="4"/>
  <c r="L18" i="4"/>
  <c r="R18" i="4"/>
  <c r="M18" i="4"/>
  <c r="S18" i="4"/>
  <c r="N18" i="4"/>
  <c r="P18" i="4"/>
  <c r="K18" i="4"/>
  <c r="F10" i="4"/>
  <c r="A10" i="4"/>
  <c r="G10" i="4"/>
  <c r="D10" i="4"/>
  <c r="C10" i="4"/>
  <c r="H10" i="4"/>
  <c r="B10" i="4"/>
  <c r="I10" i="4"/>
  <c r="E19" i="4"/>
  <c r="F18" i="4"/>
  <c r="A18" i="4"/>
  <c r="G18" i="4"/>
  <c r="D18" i="4"/>
  <c r="C18" i="4"/>
  <c r="H18" i="4"/>
  <c r="B18" i="4"/>
  <c r="I18" i="4"/>
  <c r="O9" i="4"/>
  <c r="O19" i="4"/>
  <c r="E9" i="4"/>
  <c r="Q19" i="4" l="1"/>
  <c r="L19" i="4"/>
  <c r="K19" i="4"/>
  <c r="R19" i="4"/>
  <c r="M19" i="4"/>
  <c r="P19" i="4"/>
  <c r="S19" i="4"/>
  <c r="N19" i="4"/>
  <c r="Q9" i="4"/>
  <c r="L9" i="4"/>
  <c r="R9" i="4"/>
  <c r="M9" i="4"/>
  <c r="P9" i="4"/>
  <c r="S9" i="4"/>
  <c r="N9" i="4"/>
  <c r="K9" i="4"/>
  <c r="E20" i="4"/>
  <c r="F19" i="4"/>
  <c r="G19" i="4"/>
  <c r="A19" i="4"/>
  <c r="H19" i="4"/>
  <c r="D19" i="4"/>
  <c r="C19" i="4"/>
  <c r="B19" i="4"/>
  <c r="I19" i="4"/>
  <c r="F9" i="4"/>
  <c r="D9" i="4"/>
  <c r="C9" i="4"/>
  <c r="G9" i="4"/>
  <c r="B9" i="4"/>
  <c r="H9" i="4"/>
  <c r="I9" i="4"/>
  <c r="A9" i="4"/>
  <c r="O8" i="4"/>
  <c r="E8" i="4"/>
  <c r="O20" i="4"/>
  <c r="Q20" i="4" l="1"/>
  <c r="L20" i="4"/>
  <c r="R20" i="4"/>
  <c r="M20" i="4"/>
  <c r="K20" i="4"/>
  <c r="S20" i="4"/>
  <c r="N20" i="4"/>
  <c r="P20" i="4"/>
  <c r="Q8" i="4"/>
  <c r="L8" i="4"/>
  <c r="R8" i="4"/>
  <c r="M8" i="4"/>
  <c r="K8" i="4"/>
  <c r="S8" i="4"/>
  <c r="N8" i="4"/>
  <c r="P8" i="4"/>
  <c r="E7" i="4"/>
  <c r="F8" i="4"/>
  <c r="B8" i="4"/>
  <c r="G8" i="4"/>
  <c r="H8" i="4"/>
  <c r="A8" i="4"/>
  <c r="I8" i="4"/>
  <c r="D8" i="4"/>
  <c r="C8" i="4"/>
  <c r="O7" i="4"/>
  <c r="F20" i="4"/>
  <c r="B20" i="4"/>
  <c r="G20" i="4"/>
  <c r="H20" i="4"/>
  <c r="A20" i="4"/>
  <c r="D20" i="4"/>
  <c r="C20" i="4"/>
  <c r="I20" i="4"/>
  <c r="E21" i="4"/>
  <c r="O21" i="4"/>
  <c r="E6" i="4"/>
  <c r="Q21" i="4" l="1"/>
  <c r="L21" i="4"/>
  <c r="R21" i="4"/>
  <c r="M21" i="4"/>
  <c r="P21" i="4"/>
  <c r="S21" i="4"/>
  <c r="N21" i="4"/>
  <c r="K21" i="4"/>
  <c r="Q7" i="4"/>
  <c r="L7" i="4"/>
  <c r="R7" i="4"/>
  <c r="M7" i="4"/>
  <c r="S7" i="4"/>
  <c r="N7" i="4"/>
  <c r="P7" i="4"/>
  <c r="K7" i="4"/>
  <c r="H6" i="4"/>
  <c r="G6" i="4"/>
  <c r="A6" i="4"/>
  <c r="D6" i="4"/>
  <c r="F6" i="4"/>
  <c r="C6" i="4"/>
  <c r="I6" i="4"/>
  <c r="B6" i="4"/>
  <c r="F21" i="4"/>
  <c r="D21" i="4"/>
  <c r="C21" i="4"/>
  <c r="G21" i="4"/>
  <c r="B21" i="4"/>
  <c r="H21" i="4"/>
  <c r="A21" i="4"/>
  <c r="I21" i="4"/>
  <c r="E22" i="4"/>
  <c r="O6" i="4"/>
  <c r="F7" i="4"/>
  <c r="G7" i="4"/>
  <c r="A7" i="4"/>
  <c r="H7" i="4"/>
  <c r="D7" i="4"/>
  <c r="C7" i="4"/>
  <c r="I7" i="4"/>
  <c r="B7" i="4"/>
  <c r="O22" i="4"/>
  <c r="Q22" i="4" l="1"/>
  <c r="L22" i="4"/>
  <c r="K22" i="4"/>
  <c r="R22" i="4"/>
  <c r="M22" i="4"/>
  <c r="P22" i="4"/>
  <c r="S22" i="4"/>
  <c r="N22" i="4"/>
  <c r="R6" i="4"/>
  <c r="M6" i="4"/>
  <c r="Q6" i="4"/>
  <c r="L6" i="4"/>
  <c r="N6" i="4"/>
  <c r="P6" i="4"/>
  <c r="K6" i="4"/>
  <c r="S6" i="4"/>
  <c r="F22" i="4"/>
  <c r="D22" i="4"/>
  <c r="D24" i="4" s="1"/>
  <c r="A22" i="4"/>
  <c r="G22" i="4"/>
  <c r="G24" i="4" s="1"/>
  <c r="C22" i="4"/>
  <c r="C24" i="4" s="1"/>
  <c r="H22" i="4"/>
  <c r="H24" i="4" s="1"/>
  <c r="B22" i="4"/>
  <c r="B24" i="4" s="1"/>
  <c r="I22" i="4"/>
  <c r="I24" i="4" s="1"/>
  <c r="N24" i="4" l="1"/>
  <c r="R24" i="4"/>
  <c r="S24" i="4"/>
  <c r="Q24" i="4"/>
  <c r="M24" i="4"/>
  <c r="L24" i="4"/>
  <c r="D26" i="4"/>
  <c r="E26" i="4"/>
  <c r="F26" i="4"/>
  <c r="N26" i="4" l="1"/>
  <c r="P26" i="4"/>
  <c r="O26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C9C5F7-4BD4-4CE5-A250-32ED80C7DAB5}" keepAlive="1" name="Query - BankNifty" description="Connection to the 'BankNifty' query in the workbook." type="5" refreshedVersion="6" background="1" saveData="1">
    <dbPr connection="Provider=Microsoft.Mashup.OleDb.1;Data Source=$Workbook$;Location=BankNifty;Extended Properties=&quot;&quot;" command="SELECT * FROM [BankNifty]"/>
  </connection>
  <connection id="2" xr16:uid="{B38DFD45-3C12-40D6-9513-6FE5BFEA1B4B}" keepAlive="1" name="Query - getcookie" description="Connection to the 'getcookie' query in the workbook." type="5" refreshedVersion="0" background="1">
    <dbPr connection="Provider=Microsoft.Mashup.OleDb.1;Data Source=$Workbook$;Location=getcookie;Extended Properties=&quot;&quot;" command="SELECT * FROM [getcookie]"/>
  </connection>
  <connection id="3" xr16:uid="{2A4D6EBB-5B52-4506-A12F-081462D9ABD2}" keepAlive="1" name="Query - Nifty" description="Connection to the 'Nifty' query in the workbook." type="5" refreshedVersion="6" background="1" saveData="1">
    <dbPr connection="Provider=Microsoft.Mashup.OleDb.1;Data Source=$Workbook$;Location=Nifty;Extended Properties=&quot;&quot;" command="SELECT * FROM [Nifty]"/>
  </connection>
</connections>
</file>

<file path=xl/sharedStrings.xml><?xml version="1.0" encoding="utf-8"?>
<sst xmlns="http://schemas.openxmlformats.org/spreadsheetml/2006/main" count="75" uniqueCount="40">
  <si>
    <t>cookie</t>
  </si>
  <si>
    <t>bm_sv=40661B9A6E71502197842D3907EC31E8~zo59wVx7QVSSOZyZZVLJQ+eM4Er6LL3MZSK4vvGp7Xd/Ql+UOnJRPfNy4YI8TABL8c40VeNkYWC4ss4don2P+SVe/QRZlwu/gm7zuN1nicU5mKzPXqXeVbWFbL/6JVPlj+sMnkiLLJvKgb3lUTVqecD2l1em9HjWPKbILS04p4A=</t>
  </si>
  <si>
    <t>40661B9A6E71502197842D3907EC31E8~zo59wVx7QVSSOZyZZVLJQ+eM4Er6LL3MZSK4vvGp7Xd/Ql+UOnJRPfNy4YI8TABL8c40VeNkYWC4ss4don2P+SVe/QRZlwu/gm7zuN1nicU5mKzPXqXeVbWFbL/6JVPlj+sMnkiLLJvKgb3lUTVqecD2l1em9HjWPKbILS04p4A=</t>
  </si>
  <si>
    <t>strikePrice</t>
  </si>
  <si>
    <t>expiryDate</t>
  </si>
  <si>
    <t>PE.openInterest</t>
  </si>
  <si>
    <t>PE.changeinOpenInterest</t>
  </si>
  <si>
    <t>PE.totalTradedVolume</t>
  </si>
  <si>
    <t>PE.lastPrice</t>
  </si>
  <si>
    <t>PE.underlyingValue</t>
  </si>
  <si>
    <t>CE.openInterest</t>
  </si>
  <si>
    <t>CE.changeinOpenInterest</t>
  </si>
  <si>
    <t>CE.totalTradedVolume</t>
  </si>
  <si>
    <t>CE.lastPrice</t>
  </si>
  <si>
    <t>CE.underlyingValue</t>
  </si>
  <si>
    <t>NIFTY CALL OPTION</t>
  </si>
  <si>
    <t>LTP</t>
  </si>
  <si>
    <t>OI</t>
  </si>
  <si>
    <t>COI</t>
  </si>
  <si>
    <t>NIFTY</t>
  </si>
  <si>
    <t>VOLUME</t>
  </si>
  <si>
    <t>S PRICE</t>
  </si>
  <si>
    <t>NIFTY PUT OPTION</t>
  </si>
  <si>
    <t>BANKNIFTY CALL OPTION</t>
  </si>
  <si>
    <t>BANKNIFTY PUT OPTION</t>
  </si>
  <si>
    <t>BANKNIFTY</t>
  </si>
  <si>
    <t>TOTAL</t>
  </si>
  <si>
    <t>TIME</t>
  </si>
  <si>
    <t>CALL</t>
  </si>
  <si>
    <t>PUT</t>
  </si>
  <si>
    <t>DIFF</t>
  </si>
  <si>
    <t>PCR</t>
  </si>
  <si>
    <t>SIGNAL</t>
  </si>
  <si>
    <t>BANK NIFTY</t>
  </si>
  <si>
    <t>LATEST</t>
  </si>
  <si>
    <t>nsit=zQkTwsh5RZAr_DJq5mn-mrAq</t>
  </si>
  <si>
    <t>nseappid=eyJhbGciOiJIUzI1NiIsInR5cCI6IkpXVCJ9.eyJpc3MiOiJhcGkubnNlIiwiYXVkIjoiYXBpLm5zZSIsImlhdCI6MTY0NTIxOTEyMywiZXhwIjoxNjQ1MjIyNzIzfQ.ZexQoi8SSgt4jW4-u0L6a2d0LlUfjMd7gLlga1P714o</t>
  </si>
  <si>
    <t>EXPIRY DATE</t>
  </si>
  <si>
    <t>_ga=GA1.2.1967275371.1645348103; _gid=GA1.2.1112082160.1645348103; nseQuoteSymbols=[{"symbol":"NIFTY","identifier":"OPTIDXNIFTY24-02-2022PE17300.00","type":"equity"}]; RT="z=1&amp;dm=nseindia.com&amp;si=327de2bf-fb2c-4e1d-b5b6-7609e3ddc30c&amp;ss=kzvlo36w&amp;sl=0&amp;tt=0&amp;bcn=//684d0d46.akstat.io/"; ak_bmsc=DE18089BA312BF789164C24672200CDB~000000000000000000000000000000~YAAQjHMsMWmZq9l+AQAAA5TXGA5mtkJW4GkW1AkZ1fzkC1bADMHq8KHYXspi92IFtvTPsZ83wnk41Xqf2ae3Awmwl/C3YX7fcxKDrXUQEIiv81eZNnui4z/pZHqyxd/Ad6/GdoZqS2MpOIKZQ63ym3lV/eoYV5+LSrzuRS3SXV2bDyjCvkoHVgXJ6D0OGaOU2JC2dYJQCsVzCwAOjUfVWjl5sd6zfQtECByqZmCUqxMkfbiSw22m3sF0Im9cgYD5JVhY9TVrqq+fZYgXrj69R5NL4DQ/+VSuacNBFOSIidm/LCDEQZYATzSqM7LOXK1ddqLmqb2yv2nAcJrVNdrFheClUZDuWEtM9bqLO5a3fHo1a+4qk5WdZHZwyeislL3i6BILli9/c5R8vXI=; bm_sv=0803EF6509CBFF5F66631E09AB7267A7~zo59wVx7QVSSOZyZZVLJQwUOs2foBQ9djqmqKQGo/a6DY3rhJAJlpTIbSAiosjvhhdPPHmDehkidHkI+twiEfEEyS5LvqA4pNxvoMIYwbAFW7rOv+3ykUyofbNp+NINCfdfXvhU1wDpOqAIMLfOztn7eiLf2w45X6qXqY7g75Gw=</t>
  </si>
  <si>
    <t>nsit=Z_6BWbypf0dhviT7NZHvnTeB; nseappid=eyJhbGciOiJIUzI1NiIsInR5cCI6IkpXVCJ9.eyJpc3MiOiJhcGkubnNlIiwiYXVkIjoiYXBpLm5zZSIsImlhdCI6MTY0NzUwMzcxNSwiZXhwIjoxNjQ3NTA3MzE1fQ.q4y_rF_TVPfpypLaCEWgEe0KIfsKPT7HjF2oD6jnwgs; AKA_A2=A; ak_bmsc=FB2B7599C87601D143EAB90896B1316B~000000000000000000000000000000~YAAQVIMsMQu9R1N/AQAAYcTflg+xfp0i3x6AD9UHJD7RF79eeB6rwibLIWnqdM2SgFBfzaXZn+nlCAqkyfGtdNErVoTYh8nji+boAGUgV6zmhNNACp2k0H5viFEURgMFhlkcSL8rPZvj+FyKdQakOwfms6PtHovQNYgX00773WDUquP3OO0uypzlaTX0bLgTpYVPdfrC0UQyzb1t2QYkVqs9jwIuzfeOZbpH/36ZfGSUapUHCzzdNtJxsyKlu6Z7fFM8aJlSuEQyMRyVF43Y8nWaWJnAbi/r/WJ7R7sUVkvWQep9gCAwA9c9mJtFdbBSxs1FxIiA2eaM0E8ZRzmqcm75sxWk+pvtkGrJDYWey0YFjTm3DAyTgPd275mdJJZ1xgsvZinlCPRaOBfMokiTdhD6+E2MjzQcByQvTelVDKbRgi6tBY5q3hfXKyIiypLHFtNyYV+I2W4g3kha+jkdssH0Dw5yFYMZ1d1WCpexMIO2aX51AQRDxFh+lzw=; RT="z=1&amp;dm=nseindia.com&amp;si=a6c2d4fa-2aa6-4817-abd7-49f82096babe&amp;ss=l0up6bqx&amp;sl=1&amp;tt=8p2&amp;bcn=//684d0d4c.akstat.io/&amp;ld=9i0"; bm_sv=9CA689C9D273D6B5C395F063DCAC6B01~aSlE8BeoqyXpXDSQDmW0ImF2cEvlQqWmPDD5R6JspzuuDP2c4F1W2iuPLOrsk1R3LgxtfoL4mAaWnAluosS7VuwAPkTbwWGwWNdxQxlqDE/OPzuSGWn7Wb+Dzt/T/dhPbSFRmhRyqC5oYIOY8vqzR1Rb4D7uHez8e206Z0gfLkw=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</si>
</sst>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FF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14" fontId="0" fillId="2" borderId="1" xfId="0" applyNumberFormat="1" applyFont="1" applyFill="1" applyBorder="1"/>
    <xf numFmtId="14" fontId="0" fillId="0" borderId="1" xfId="0" applyNumberFormat="1" applyFont="1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6" borderId="0" xfId="0" applyNumberFormat="1" applyFill="1"/>
    <xf numFmtId="164" fontId="0" fillId="0" borderId="0" xfId="0" applyNumberFormat="1"/>
    <xf numFmtId="18" fontId="0" fillId="0" borderId="0" xfId="0" applyNumberFormat="1"/>
    <xf numFmtId="0" fontId="0" fillId="7" borderId="0" xfId="0" applyFill="1"/>
    <xf numFmtId="0" fontId="1" fillId="0" borderId="0" xfId="0" applyNumberFormat="1" applyFont="1"/>
    <xf numFmtId="0" fontId="1" fillId="0" borderId="0" xfId="0" applyFont="1"/>
    <xf numFmtId="0" fontId="0" fillId="8" borderId="0" xfId="0" applyFill="1"/>
    <xf numFmtId="0" fontId="0" fillId="9" borderId="0" xfId="0" applyFill="1"/>
    <xf numFmtId="14" fontId="2" fillId="10" borderId="0" xfId="0" applyNumberFormat="1" applyFont="1" applyFill="1"/>
    <xf numFmtId="0" fontId="0" fillId="10" borderId="0" xfId="0" applyFont="1" applyFill="1"/>
    <xf numFmtId="164" fontId="0" fillId="0" borderId="0" xfId="0" applyNumberFormat="1" applyAlignment="1">
      <alignment horizontal="right"/>
    </xf>
    <xf numFmtId="0" fontId="3" fillId="0" borderId="0" xfId="0" applyFont="1"/>
    <xf numFmtId="0" fontId="3" fillId="0" borderId="0" xfId="0" applyNumberFormat="1" applyFont="1"/>
    <xf numFmtId="0" fontId="0" fillId="7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</cellXfs>
  <cellStyles count="1">
    <cellStyle name="Normal" xfId="0" builtinId="0"/>
  </cellStyles>
  <dxfs count="14">
    <dxf>
      <numFmt numFmtId="19" formatCode="dd/mm/yy"/>
    </dxf>
    <dxf>
      <numFmt numFmtId="19" formatCode="dd/mm/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70D16FD-163C-421F-916A-F6054097B811}" autoFormatId="16" applyNumberFormats="0" applyBorderFormats="0" applyFontFormats="0" applyPatternFormats="0" applyAlignmentFormats="0" applyWidthHeightFormats="0">
  <queryTableRefresh nextId="13">
    <queryTableFields count="12">
      <queryTableField id="1" name="strikePrice" tableColumnId="1"/>
      <queryTableField id="2" name="expiryDate" tableColumnId="2"/>
      <queryTableField id="3" name="CE.openInterest" tableColumnId="3"/>
      <queryTableField id="4" name="CE.changeinOpenInterest" tableColumnId="4"/>
      <queryTableField id="5" name="CE.totalTradedVolume" tableColumnId="5"/>
      <queryTableField id="6" name="CE.lastPrice" tableColumnId="6"/>
      <queryTableField id="7" name="CE.underlyingValue" tableColumnId="7"/>
      <queryTableField id="8" name="PE.openInterest" tableColumnId="8"/>
      <queryTableField id="9" name="PE.changeinOpenInterest" tableColumnId="9"/>
      <queryTableField id="10" name="PE.totalTradedVolume" tableColumnId="10"/>
      <queryTableField id="11" name="PE.lastPrice" tableColumnId="11"/>
      <queryTableField id="12" name="PE.underlyingValue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4CD0372-251A-41B9-A02E-2C91A6E2D6C4}" autoFormatId="16" applyNumberFormats="0" applyBorderFormats="0" applyFontFormats="0" applyPatternFormats="0" applyAlignmentFormats="0" applyWidthHeightFormats="0">
  <queryTableRefresh nextId="13">
    <queryTableFields count="12">
      <queryTableField id="1" name="strikePrice" tableColumnId="1"/>
      <queryTableField id="2" name="expiryDate" tableColumnId="2"/>
      <queryTableField id="3" name="CE.openInterest" tableColumnId="3"/>
      <queryTableField id="4" name="CE.changeinOpenInterest" tableColumnId="4"/>
      <queryTableField id="5" name="CE.totalTradedVolume" tableColumnId="5"/>
      <queryTableField id="6" name="CE.lastPrice" tableColumnId="6"/>
      <queryTableField id="7" name="CE.underlyingValue" tableColumnId="7"/>
      <queryTableField id="8" name="PE.openInterest" tableColumnId="8"/>
      <queryTableField id="9" name="PE.changeinOpenInterest" tableColumnId="9"/>
      <queryTableField id="10" name="PE.totalTradedVolume" tableColumnId="10"/>
      <queryTableField id="11" name="PE.lastPrice" tableColumnId="11"/>
      <queryTableField id="12" name="PE.underlyingValue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64A05A-7B46-4E9A-9288-792D0E223017}" name="Nifty" displayName="Nifty" ref="B4:M113" tableType="queryTable" totalsRowShown="0">
  <autoFilter ref="B4:M113" xr:uid="{13DE8190-29EA-4DC9-ADD7-21D7F5CAFB31}"/>
  <tableColumns count="12">
    <tableColumn id="1" xr3:uid="{C91AE477-F826-4641-9772-8C81C81857C0}" uniqueName="1" name="strikePrice" queryTableFieldId="1"/>
    <tableColumn id="2" xr3:uid="{86BF51D8-70AC-4346-BCD1-853FE4824FFA}" uniqueName="2" name="expiryDate" queryTableFieldId="2" dataDxfId="1"/>
    <tableColumn id="3" xr3:uid="{66E61270-C1C1-4E94-B67B-C1F1A9829337}" uniqueName="3" name="CE.openInterest" queryTableFieldId="3"/>
    <tableColumn id="4" xr3:uid="{8E6FE757-FC30-464A-81E8-A0B605C802BD}" uniqueName="4" name="CE.changeinOpenInterest" queryTableFieldId="4"/>
    <tableColumn id="5" xr3:uid="{3A05813B-BA80-42D4-8FF7-62E08488678B}" uniqueName="5" name="CE.totalTradedVolume" queryTableFieldId="5"/>
    <tableColumn id="6" xr3:uid="{B7875965-F43D-4B50-9323-BF8F280D40FC}" uniqueName="6" name="CE.lastPrice" queryTableFieldId="6"/>
    <tableColumn id="7" xr3:uid="{8E3FFF66-8C82-401D-994F-781C55E7DF33}" uniqueName="7" name="CE.underlyingValue" queryTableFieldId="7"/>
    <tableColumn id="8" xr3:uid="{CF3FBC8B-1746-4101-800C-0B26202327FC}" uniqueName="8" name="PE.openInterest" queryTableFieldId="8"/>
    <tableColumn id="9" xr3:uid="{7F99E03A-A640-45F2-B892-A352BB3AC1F6}" uniqueName="9" name="PE.changeinOpenInterest" queryTableFieldId="9"/>
    <tableColumn id="10" xr3:uid="{B63C22FA-1B6B-45E1-9422-8B8D71D86043}" uniqueName="10" name="PE.totalTradedVolume" queryTableFieldId="10"/>
    <tableColumn id="11" xr3:uid="{5D524643-1C78-4AFB-A5FC-771CAF56D81B}" uniqueName="11" name="PE.lastPrice" queryTableFieldId="11"/>
    <tableColumn id="12" xr3:uid="{69A9294A-8099-4A50-8EC9-EA5233145EF4}" uniqueName="12" name="PE.underlyingValue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D712ECA-9CEB-4E80-A324-9F0FC31CE02E}" name="BankNifty" displayName="BankNifty" ref="B4:M102" tableType="queryTable" totalsRowShown="0">
  <autoFilter ref="B4:M102" xr:uid="{C1DDECCD-EACF-4D17-AF2A-1AC8DDFAF0E1}"/>
  <tableColumns count="12">
    <tableColumn id="1" xr3:uid="{2D2D3D4B-B561-4ED0-BFFA-E5C75F3EF735}" uniqueName="1" name="strikePrice" queryTableFieldId="1"/>
    <tableColumn id="2" xr3:uid="{A8DC2875-0BC8-40D2-8305-EEC61D51E460}" uniqueName="2" name="expiryDate" queryTableFieldId="2" dataDxfId="0"/>
    <tableColumn id="3" xr3:uid="{9C9C3E56-04F9-45C5-9ADD-9B5F8FAAA6A9}" uniqueName="3" name="CE.openInterest" queryTableFieldId="3"/>
    <tableColumn id="4" xr3:uid="{850ED8E5-5C52-4AFA-A075-DBF9E6FBC726}" uniqueName="4" name="CE.changeinOpenInterest" queryTableFieldId="4"/>
    <tableColumn id="5" xr3:uid="{C11E309E-6578-4D8E-8FF1-537129525322}" uniqueName="5" name="CE.totalTradedVolume" queryTableFieldId="5"/>
    <tableColumn id="6" xr3:uid="{5029C529-0414-40EA-B010-5E5685861E0F}" uniqueName="6" name="CE.lastPrice" queryTableFieldId="6"/>
    <tableColumn id="7" xr3:uid="{ED908182-CE66-4305-8D33-6AB5A37926DF}" uniqueName="7" name="CE.underlyingValue" queryTableFieldId="7"/>
    <tableColumn id="8" xr3:uid="{BBD76FCC-9702-44E3-912F-C33681EE4AA9}" uniqueName="8" name="PE.openInterest" queryTableFieldId="8"/>
    <tableColumn id="9" xr3:uid="{0745B6C8-AC1C-4B61-871C-2608C3D05380}" uniqueName="9" name="PE.changeinOpenInterest" queryTableFieldId="9"/>
    <tableColumn id="10" xr3:uid="{C60A5D18-78DA-4599-A07E-53E7CDE0A785}" uniqueName="10" name="PE.totalTradedVolume" queryTableFieldId="10"/>
    <tableColumn id="11" xr3:uid="{BD85A633-4A2C-4059-AFBA-EC2E5BB95009}" uniqueName="11" name="PE.lastPrice" queryTableFieldId="11"/>
    <tableColumn id="12" xr3:uid="{8382F47C-07D0-4EA7-AAD1-98A96C2F62EB}" uniqueName="12" name="PE.underlyingValue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BB45E4-7EBC-47D1-899A-A4EE4E94DC88}" name="cookie" displayName="cookie" ref="A1:A2" totalsRowShown="0">
  <autoFilter ref="A1:A2" xr:uid="{7C617587-4F4E-463D-8F61-8CB2B50E15A4}"/>
  <tableColumns count="1">
    <tableColumn id="1" xr3:uid="{3220298E-DADA-4061-BFB0-9075D5FEAEE6}" name="cooki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26C5-FE27-49B0-BE57-E7634B62AC05}">
  <sheetPr codeName="Sheet1"/>
  <dimension ref="B4:AI962"/>
  <sheetViews>
    <sheetView workbookViewId="0">
      <selection activeCell="B4" sqref="B4:M114"/>
    </sheetView>
  </sheetViews>
  <sheetFormatPr defaultRowHeight="15" x14ac:dyDescent="0.25"/>
  <cols>
    <col min="2" max="2" width="12.7109375" bestFit="1" customWidth="1"/>
    <col min="3" max="3" width="13" bestFit="1" customWidth="1"/>
    <col min="4" max="4" width="17.7109375" bestFit="1" customWidth="1"/>
    <col min="5" max="5" width="26.28515625" bestFit="1" customWidth="1"/>
    <col min="6" max="6" width="23.7109375" bestFit="1" customWidth="1"/>
    <col min="7" max="7" width="13.5703125" bestFit="1" customWidth="1"/>
    <col min="8" max="8" width="21" bestFit="1" customWidth="1"/>
    <col min="9" max="9" width="17.7109375" bestFit="1" customWidth="1"/>
    <col min="10" max="10" width="26.28515625" bestFit="1" customWidth="1"/>
    <col min="11" max="11" width="23.7109375" bestFit="1" customWidth="1"/>
    <col min="12" max="12" width="13.5703125" bestFit="1" customWidth="1"/>
    <col min="13" max="13" width="21" bestFit="1" customWidth="1"/>
    <col min="14" max="14" width="12" bestFit="1" customWidth="1"/>
    <col min="15" max="15" width="13.28515625" bestFit="1" customWidth="1"/>
    <col min="16" max="16" width="12" bestFit="1" customWidth="1"/>
    <col min="17" max="17" width="13.28515625" bestFit="1" customWidth="1"/>
    <col min="18" max="18" width="21" bestFit="1" customWidth="1"/>
    <col min="19" max="19" width="17.7109375" bestFit="1" customWidth="1"/>
    <col min="20" max="20" width="26.28515625" bestFit="1" customWidth="1"/>
    <col min="21" max="21" width="27.42578125" bestFit="1" customWidth="1"/>
    <col min="22" max="22" width="23.7109375" bestFit="1" customWidth="1"/>
    <col min="23" max="23" width="21.28515625" bestFit="1" customWidth="1"/>
    <col min="24" max="24" width="13.5703125" bestFit="1" customWidth="1"/>
    <col min="25" max="25" width="12.28515625" bestFit="1" customWidth="1"/>
    <col min="26" max="26" width="13.7109375" bestFit="1" customWidth="1"/>
    <col min="27" max="28" width="21.42578125" bestFit="1" customWidth="1"/>
    <col min="29" max="29" width="12" bestFit="1" customWidth="1"/>
    <col min="30" max="30" width="13.28515625" bestFit="1" customWidth="1"/>
    <col min="31" max="31" width="12" bestFit="1" customWidth="1"/>
    <col min="32" max="32" width="13.28515625" bestFit="1" customWidth="1"/>
    <col min="33" max="33" width="21" bestFit="1" customWidth="1"/>
    <col min="34" max="34" width="14.28515625" bestFit="1" customWidth="1"/>
    <col min="35" max="35" width="14.5703125" bestFit="1" customWidth="1"/>
    <col min="36" max="36" width="16.5703125" bestFit="1" customWidth="1"/>
    <col min="37" max="37" width="25.140625" bestFit="1" customWidth="1"/>
    <col min="38" max="38" width="26.28515625" bestFit="1" customWidth="1"/>
    <col min="39" max="39" width="22.42578125" bestFit="1" customWidth="1"/>
    <col min="40" max="40" width="20.140625" bestFit="1" customWidth="1"/>
    <col min="41" max="41" width="12.42578125" bestFit="1" customWidth="1"/>
    <col min="42" max="42" width="11.140625" bestFit="1" customWidth="1"/>
    <col min="43" max="43" width="12.7109375" bestFit="1" customWidth="1"/>
    <col min="44" max="45" width="20.28515625" bestFit="1" customWidth="1"/>
    <col min="46" max="46" width="10.85546875" bestFit="1" customWidth="1"/>
    <col min="47" max="47" width="12.140625" bestFit="1" customWidth="1"/>
    <col min="48" max="48" width="10.85546875" bestFit="1" customWidth="1"/>
    <col min="49" max="49" width="12.140625" bestFit="1" customWidth="1"/>
    <col min="50" max="50" width="19.85546875" bestFit="1" customWidth="1"/>
    <col min="51" max="51" width="14.28515625" bestFit="1" customWidth="1"/>
    <col min="52" max="52" width="14.5703125" bestFit="1" customWidth="1"/>
    <col min="53" max="53" width="14.85546875" bestFit="1" customWidth="1"/>
    <col min="54" max="54" width="23.42578125" bestFit="1" customWidth="1"/>
    <col min="55" max="55" width="24.7109375" bestFit="1" customWidth="1"/>
    <col min="56" max="56" width="20.85546875" bestFit="1" customWidth="1"/>
    <col min="57" max="57" width="18.42578125" bestFit="1" customWidth="1"/>
    <col min="58" max="58" width="10.85546875" bestFit="1" customWidth="1"/>
    <col min="59" max="59" width="9.5703125" bestFit="1" customWidth="1"/>
    <col min="60" max="60" width="12.7109375" bestFit="1" customWidth="1"/>
    <col min="61" max="62" width="18.5703125" bestFit="1" customWidth="1"/>
    <col min="63" max="63" width="9.28515625" bestFit="1" customWidth="1"/>
    <col min="64" max="64" width="10.5703125" bestFit="1" customWidth="1"/>
    <col min="65" max="65" width="9.28515625" bestFit="1" customWidth="1"/>
    <col min="66" max="66" width="10.5703125" bestFit="1" customWidth="1"/>
    <col min="67" max="67" width="18.140625" bestFit="1" customWidth="1"/>
  </cols>
  <sheetData>
    <row r="4" spans="2:35" x14ac:dyDescent="0.25">
      <c r="B4" t="s">
        <v>3</v>
      </c>
      <c r="C4" t="s">
        <v>4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AI4" s="3"/>
    </row>
    <row r="5" spans="2:35" x14ac:dyDescent="0.25">
      <c r="B5">
        <v>14050</v>
      </c>
      <c r="C5" s="1">
        <v>44812</v>
      </c>
      <c r="D5">
        <v>0</v>
      </c>
      <c r="E5">
        <v>0</v>
      </c>
      <c r="F5">
        <v>0</v>
      </c>
      <c r="G5">
        <v>0</v>
      </c>
      <c r="H5">
        <v>17773.650000000001</v>
      </c>
      <c r="I5">
        <v>3052</v>
      </c>
      <c r="J5">
        <v>1256</v>
      </c>
      <c r="K5">
        <v>4986</v>
      </c>
      <c r="L5">
        <v>0.1</v>
      </c>
      <c r="M5">
        <v>17773.650000000001</v>
      </c>
      <c r="AI5" s="2"/>
    </row>
    <row r="6" spans="2:35" x14ac:dyDescent="0.25">
      <c r="B6">
        <v>14100</v>
      </c>
      <c r="C6" s="1">
        <v>44812</v>
      </c>
      <c r="D6">
        <v>0</v>
      </c>
      <c r="E6">
        <v>0</v>
      </c>
      <c r="F6">
        <v>0</v>
      </c>
      <c r="G6">
        <v>0</v>
      </c>
      <c r="H6">
        <v>17773.650000000001</v>
      </c>
      <c r="I6">
        <v>939</v>
      </c>
      <c r="J6">
        <v>-172</v>
      </c>
      <c r="K6">
        <v>1256</v>
      </c>
      <c r="L6">
        <v>0.05</v>
      </c>
      <c r="M6">
        <v>17773.650000000001</v>
      </c>
      <c r="AI6" s="3"/>
    </row>
    <row r="7" spans="2:35" x14ac:dyDescent="0.25">
      <c r="B7">
        <v>14150</v>
      </c>
      <c r="C7" s="1">
        <v>44812</v>
      </c>
      <c r="D7">
        <v>0</v>
      </c>
      <c r="E7">
        <v>0</v>
      </c>
      <c r="F7">
        <v>0</v>
      </c>
      <c r="G7">
        <v>0</v>
      </c>
      <c r="H7">
        <v>17773.650000000001</v>
      </c>
      <c r="I7">
        <v>264</v>
      </c>
      <c r="J7">
        <v>53</v>
      </c>
      <c r="K7">
        <v>153</v>
      </c>
      <c r="L7">
        <v>0.05</v>
      </c>
      <c r="M7">
        <v>17773.650000000001</v>
      </c>
      <c r="AI7" s="3"/>
    </row>
    <row r="8" spans="2:35" x14ac:dyDescent="0.25">
      <c r="B8">
        <v>14200</v>
      </c>
      <c r="C8" s="1">
        <v>44812</v>
      </c>
      <c r="D8">
        <v>0</v>
      </c>
      <c r="E8">
        <v>0</v>
      </c>
      <c r="F8">
        <v>0</v>
      </c>
      <c r="G8">
        <v>0</v>
      </c>
      <c r="H8">
        <v>17773.650000000001</v>
      </c>
      <c r="I8">
        <v>1357</v>
      </c>
      <c r="J8">
        <v>329</v>
      </c>
      <c r="K8">
        <v>1430</v>
      </c>
      <c r="L8">
        <v>0.1</v>
      </c>
      <c r="M8">
        <v>17773.650000000001</v>
      </c>
      <c r="AI8" s="2"/>
    </row>
    <row r="9" spans="2:35" x14ac:dyDescent="0.25">
      <c r="B9">
        <v>14250</v>
      </c>
      <c r="C9" s="1">
        <v>44812</v>
      </c>
      <c r="D9">
        <v>0</v>
      </c>
      <c r="E9">
        <v>0</v>
      </c>
      <c r="F9">
        <v>0</v>
      </c>
      <c r="G9">
        <v>0</v>
      </c>
      <c r="H9">
        <v>17773.650000000001</v>
      </c>
      <c r="I9">
        <v>360</v>
      </c>
      <c r="J9">
        <v>91</v>
      </c>
      <c r="K9">
        <v>428</v>
      </c>
      <c r="L9">
        <v>0.1</v>
      </c>
      <c r="M9">
        <v>17773.650000000001</v>
      </c>
      <c r="AI9" s="3"/>
    </row>
    <row r="10" spans="2:35" x14ac:dyDescent="0.25">
      <c r="B10">
        <v>14300</v>
      </c>
      <c r="C10" s="1">
        <v>44812</v>
      </c>
      <c r="D10">
        <v>0</v>
      </c>
      <c r="E10">
        <v>0</v>
      </c>
      <c r="F10">
        <v>0</v>
      </c>
      <c r="G10">
        <v>0</v>
      </c>
      <c r="H10">
        <v>17773.650000000001</v>
      </c>
      <c r="I10">
        <v>220</v>
      </c>
      <c r="J10">
        <v>4</v>
      </c>
      <c r="K10">
        <v>192</v>
      </c>
      <c r="L10">
        <v>0.1</v>
      </c>
      <c r="M10">
        <v>17773.650000000001</v>
      </c>
      <c r="AI10" s="2"/>
    </row>
    <row r="11" spans="2:35" x14ac:dyDescent="0.25">
      <c r="B11">
        <v>14350</v>
      </c>
      <c r="C11" s="1">
        <v>44812</v>
      </c>
      <c r="D11">
        <v>0</v>
      </c>
      <c r="E11">
        <v>0</v>
      </c>
      <c r="F11">
        <v>0</v>
      </c>
      <c r="G11">
        <v>0</v>
      </c>
      <c r="H11">
        <v>17773.650000000001</v>
      </c>
      <c r="I11">
        <v>181</v>
      </c>
      <c r="J11">
        <v>-2</v>
      </c>
      <c r="K11">
        <v>82</v>
      </c>
      <c r="L11">
        <v>0.1</v>
      </c>
      <c r="M11">
        <v>17773.650000000001</v>
      </c>
    </row>
    <row r="12" spans="2:35" x14ac:dyDescent="0.25">
      <c r="B12">
        <v>14400</v>
      </c>
      <c r="C12" s="1">
        <v>44812</v>
      </c>
      <c r="D12">
        <v>0</v>
      </c>
      <c r="E12">
        <v>0</v>
      </c>
      <c r="F12">
        <v>0</v>
      </c>
      <c r="G12">
        <v>0</v>
      </c>
      <c r="H12">
        <v>17773.650000000001</v>
      </c>
      <c r="I12">
        <v>397</v>
      </c>
      <c r="J12">
        <v>-55</v>
      </c>
      <c r="K12">
        <v>717</v>
      </c>
      <c r="L12">
        <v>0.1</v>
      </c>
      <c r="M12">
        <v>17773.650000000001</v>
      </c>
      <c r="AI12" s="2"/>
    </row>
    <row r="13" spans="2:35" x14ac:dyDescent="0.25">
      <c r="B13">
        <v>14450</v>
      </c>
      <c r="C13" s="1">
        <v>44812</v>
      </c>
      <c r="D13">
        <v>0</v>
      </c>
      <c r="E13">
        <v>0</v>
      </c>
      <c r="F13">
        <v>0</v>
      </c>
      <c r="G13">
        <v>0</v>
      </c>
      <c r="H13">
        <v>17773.650000000001</v>
      </c>
      <c r="I13">
        <v>174</v>
      </c>
      <c r="J13">
        <v>-5</v>
      </c>
      <c r="K13">
        <v>78</v>
      </c>
      <c r="L13">
        <v>0.05</v>
      </c>
      <c r="M13">
        <v>17773.650000000001</v>
      </c>
      <c r="AI13" s="2"/>
    </row>
    <row r="14" spans="2:35" x14ac:dyDescent="0.25">
      <c r="B14">
        <v>14500</v>
      </c>
      <c r="C14" s="1">
        <v>44812</v>
      </c>
      <c r="D14">
        <v>0</v>
      </c>
      <c r="E14">
        <v>0</v>
      </c>
      <c r="F14">
        <v>0</v>
      </c>
      <c r="G14">
        <v>0</v>
      </c>
      <c r="H14">
        <v>17773.650000000001</v>
      </c>
      <c r="I14">
        <v>2549</v>
      </c>
      <c r="J14">
        <v>-541</v>
      </c>
      <c r="K14">
        <v>4307</v>
      </c>
      <c r="L14">
        <v>0.05</v>
      </c>
      <c r="M14">
        <v>17773.650000000001</v>
      </c>
      <c r="AI14" s="3"/>
    </row>
    <row r="15" spans="2:35" x14ac:dyDescent="0.25">
      <c r="B15">
        <v>14550</v>
      </c>
      <c r="C15" s="1">
        <v>44812</v>
      </c>
      <c r="D15">
        <v>0</v>
      </c>
      <c r="E15">
        <v>0</v>
      </c>
      <c r="F15">
        <v>0</v>
      </c>
      <c r="G15">
        <v>0</v>
      </c>
      <c r="H15">
        <v>17773.650000000001</v>
      </c>
      <c r="I15">
        <v>77</v>
      </c>
      <c r="J15">
        <v>-1</v>
      </c>
      <c r="K15">
        <v>63</v>
      </c>
      <c r="L15">
        <v>0.1</v>
      </c>
      <c r="M15">
        <v>17773.650000000001</v>
      </c>
      <c r="AI15" s="3"/>
    </row>
    <row r="16" spans="2:35" x14ac:dyDescent="0.25">
      <c r="B16">
        <v>14600</v>
      </c>
      <c r="C16" s="1">
        <v>44812</v>
      </c>
      <c r="D16">
        <v>0</v>
      </c>
      <c r="E16">
        <v>0</v>
      </c>
      <c r="F16">
        <v>0</v>
      </c>
      <c r="G16">
        <v>0</v>
      </c>
      <c r="H16">
        <v>17773.650000000001</v>
      </c>
      <c r="I16">
        <v>153</v>
      </c>
      <c r="J16">
        <v>-86</v>
      </c>
      <c r="K16">
        <v>256</v>
      </c>
      <c r="L16">
        <v>0.1</v>
      </c>
      <c r="M16">
        <v>17773.650000000001</v>
      </c>
      <c r="AI16" s="3"/>
    </row>
    <row r="17" spans="2:35" x14ac:dyDescent="0.25">
      <c r="B17">
        <v>14650</v>
      </c>
      <c r="C17" s="1">
        <v>44812</v>
      </c>
      <c r="D17">
        <v>0</v>
      </c>
      <c r="E17">
        <v>0</v>
      </c>
      <c r="F17">
        <v>0</v>
      </c>
      <c r="G17">
        <v>0</v>
      </c>
      <c r="H17">
        <v>17773.650000000001</v>
      </c>
      <c r="I17">
        <v>50</v>
      </c>
      <c r="J17">
        <v>9</v>
      </c>
      <c r="K17">
        <v>56</v>
      </c>
      <c r="L17">
        <v>0.05</v>
      </c>
      <c r="M17">
        <v>17773.650000000001</v>
      </c>
      <c r="AI17" s="3"/>
    </row>
    <row r="18" spans="2:35" x14ac:dyDescent="0.25">
      <c r="B18">
        <v>14700</v>
      </c>
      <c r="C18" s="1">
        <v>44812</v>
      </c>
      <c r="D18">
        <v>0</v>
      </c>
      <c r="E18">
        <v>0</v>
      </c>
      <c r="F18">
        <v>0</v>
      </c>
      <c r="G18">
        <v>0</v>
      </c>
      <c r="H18">
        <v>17773.650000000001</v>
      </c>
      <c r="I18">
        <v>253</v>
      </c>
      <c r="J18">
        <v>-45</v>
      </c>
      <c r="K18">
        <v>826</v>
      </c>
      <c r="L18">
        <v>0.05</v>
      </c>
      <c r="M18">
        <v>17773.650000000001</v>
      </c>
      <c r="AI18" s="2"/>
    </row>
    <row r="19" spans="2:35" x14ac:dyDescent="0.25">
      <c r="B19">
        <v>14750</v>
      </c>
      <c r="C19" s="1">
        <v>44812</v>
      </c>
      <c r="D19">
        <v>0</v>
      </c>
      <c r="E19">
        <v>0</v>
      </c>
      <c r="F19">
        <v>0</v>
      </c>
      <c r="G19">
        <v>0</v>
      </c>
      <c r="H19">
        <v>17773.650000000001</v>
      </c>
      <c r="I19">
        <v>123</v>
      </c>
      <c r="J19">
        <v>-27</v>
      </c>
      <c r="K19">
        <v>379</v>
      </c>
      <c r="L19">
        <v>0.1</v>
      </c>
      <c r="M19">
        <v>17773.650000000001</v>
      </c>
      <c r="AI19" s="2"/>
    </row>
    <row r="20" spans="2:35" x14ac:dyDescent="0.25">
      <c r="B20">
        <v>14800</v>
      </c>
      <c r="C20" s="1">
        <v>44812</v>
      </c>
      <c r="D20">
        <v>0</v>
      </c>
      <c r="E20">
        <v>0</v>
      </c>
      <c r="F20">
        <v>0</v>
      </c>
      <c r="G20">
        <v>0</v>
      </c>
      <c r="H20">
        <v>17773.650000000001</v>
      </c>
      <c r="I20">
        <v>603</v>
      </c>
      <c r="J20">
        <v>454</v>
      </c>
      <c r="K20">
        <v>1393</v>
      </c>
      <c r="L20">
        <v>0.1</v>
      </c>
      <c r="M20">
        <v>17773.650000000001</v>
      </c>
      <c r="AI20" s="3"/>
    </row>
    <row r="21" spans="2:35" x14ac:dyDescent="0.25">
      <c r="B21">
        <v>14850</v>
      </c>
      <c r="C21" s="1">
        <v>44812</v>
      </c>
      <c r="D21">
        <v>0</v>
      </c>
      <c r="E21">
        <v>0</v>
      </c>
      <c r="F21">
        <v>0</v>
      </c>
      <c r="G21">
        <v>0</v>
      </c>
      <c r="H21">
        <v>17773.650000000001</v>
      </c>
      <c r="I21">
        <v>53</v>
      </c>
      <c r="J21">
        <v>-8</v>
      </c>
      <c r="K21">
        <v>111</v>
      </c>
      <c r="L21">
        <v>0.05</v>
      </c>
      <c r="M21">
        <v>17773.650000000001</v>
      </c>
      <c r="AI21" s="2"/>
    </row>
    <row r="22" spans="2:35" x14ac:dyDescent="0.25">
      <c r="B22">
        <v>14900</v>
      </c>
      <c r="C22" s="1">
        <v>44812</v>
      </c>
      <c r="D22">
        <v>0</v>
      </c>
      <c r="E22">
        <v>0</v>
      </c>
      <c r="F22">
        <v>0</v>
      </c>
      <c r="G22">
        <v>0</v>
      </c>
      <c r="H22">
        <v>17773.650000000001</v>
      </c>
      <c r="I22">
        <v>1030</v>
      </c>
      <c r="J22">
        <v>-329</v>
      </c>
      <c r="K22">
        <v>1082</v>
      </c>
      <c r="L22">
        <v>0.05</v>
      </c>
      <c r="M22">
        <v>17773.650000000001</v>
      </c>
      <c r="AI22" s="3"/>
    </row>
    <row r="23" spans="2:35" x14ac:dyDescent="0.25">
      <c r="B23">
        <v>14950</v>
      </c>
      <c r="C23" s="1">
        <v>44812</v>
      </c>
      <c r="D23">
        <v>0</v>
      </c>
      <c r="E23">
        <v>0</v>
      </c>
      <c r="F23">
        <v>0</v>
      </c>
      <c r="G23">
        <v>0</v>
      </c>
      <c r="H23">
        <v>17773.650000000001</v>
      </c>
      <c r="I23">
        <v>379</v>
      </c>
      <c r="J23">
        <v>-3</v>
      </c>
      <c r="K23">
        <v>122</v>
      </c>
      <c r="L23">
        <v>0.05</v>
      </c>
      <c r="M23">
        <v>17773.650000000001</v>
      </c>
      <c r="AI23" s="3"/>
    </row>
    <row r="24" spans="2:35" x14ac:dyDescent="0.25">
      <c r="B24">
        <v>15000</v>
      </c>
      <c r="C24" s="1">
        <v>44812</v>
      </c>
      <c r="D24">
        <v>3</v>
      </c>
      <c r="E24">
        <v>0</v>
      </c>
      <c r="F24">
        <v>1</v>
      </c>
      <c r="G24">
        <v>2735</v>
      </c>
      <c r="H24">
        <v>17773.650000000001</v>
      </c>
      <c r="I24">
        <v>7776</v>
      </c>
      <c r="J24">
        <v>-841</v>
      </c>
      <c r="K24">
        <v>13707</v>
      </c>
      <c r="L24">
        <v>0.05</v>
      </c>
      <c r="M24">
        <v>17773.650000000001</v>
      </c>
      <c r="AI24" s="3"/>
    </row>
    <row r="25" spans="2:35" x14ac:dyDescent="0.25">
      <c r="B25">
        <v>15050</v>
      </c>
      <c r="C25" s="1">
        <v>44812</v>
      </c>
      <c r="D25">
        <v>0</v>
      </c>
      <c r="E25">
        <v>0</v>
      </c>
      <c r="F25">
        <v>0</v>
      </c>
      <c r="G25">
        <v>0</v>
      </c>
      <c r="H25">
        <v>17773.650000000001</v>
      </c>
      <c r="I25">
        <v>636</v>
      </c>
      <c r="J25">
        <v>130</v>
      </c>
      <c r="K25">
        <v>3893</v>
      </c>
      <c r="L25">
        <v>0.1</v>
      </c>
      <c r="M25">
        <v>17773.650000000001</v>
      </c>
      <c r="AI25" s="2"/>
    </row>
    <row r="26" spans="2:35" x14ac:dyDescent="0.25">
      <c r="B26">
        <v>15100</v>
      </c>
      <c r="C26" s="1">
        <v>44812</v>
      </c>
      <c r="D26">
        <v>0</v>
      </c>
      <c r="E26">
        <v>0</v>
      </c>
      <c r="F26">
        <v>0</v>
      </c>
      <c r="G26">
        <v>0</v>
      </c>
      <c r="H26">
        <v>17773.650000000001</v>
      </c>
      <c r="I26">
        <v>168</v>
      </c>
      <c r="J26">
        <v>-14</v>
      </c>
      <c r="K26">
        <v>1821</v>
      </c>
      <c r="L26">
        <v>0.05</v>
      </c>
      <c r="M26">
        <v>17773.650000000001</v>
      </c>
      <c r="AI26" s="1"/>
    </row>
    <row r="27" spans="2:35" x14ac:dyDescent="0.25">
      <c r="B27">
        <v>15150</v>
      </c>
      <c r="C27" s="1">
        <v>44812</v>
      </c>
      <c r="D27">
        <v>0</v>
      </c>
      <c r="E27">
        <v>0</v>
      </c>
      <c r="F27">
        <v>0</v>
      </c>
      <c r="G27">
        <v>0</v>
      </c>
      <c r="H27">
        <v>17773.650000000001</v>
      </c>
      <c r="I27">
        <v>127</v>
      </c>
      <c r="J27">
        <v>-73</v>
      </c>
      <c r="K27">
        <v>2153</v>
      </c>
      <c r="L27">
        <v>0.05</v>
      </c>
      <c r="M27">
        <v>17773.650000000001</v>
      </c>
      <c r="AI27" s="1"/>
    </row>
    <row r="28" spans="2:35" x14ac:dyDescent="0.25">
      <c r="B28">
        <v>15200</v>
      </c>
      <c r="C28" s="1">
        <v>44812</v>
      </c>
      <c r="D28">
        <v>0</v>
      </c>
      <c r="E28">
        <v>0</v>
      </c>
      <c r="F28">
        <v>0</v>
      </c>
      <c r="G28">
        <v>0</v>
      </c>
      <c r="H28">
        <v>17773.650000000001</v>
      </c>
      <c r="I28">
        <v>672</v>
      </c>
      <c r="J28">
        <v>-2</v>
      </c>
      <c r="K28">
        <v>2462</v>
      </c>
      <c r="L28">
        <v>0.05</v>
      </c>
      <c r="M28">
        <v>17773.650000000001</v>
      </c>
      <c r="AI28" s="1"/>
    </row>
    <row r="29" spans="2:35" x14ac:dyDescent="0.25">
      <c r="B29">
        <v>15250</v>
      </c>
      <c r="C29" s="1">
        <v>44812</v>
      </c>
      <c r="D29">
        <v>0</v>
      </c>
      <c r="E29">
        <v>0</v>
      </c>
      <c r="F29">
        <v>0</v>
      </c>
      <c r="G29">
        <v>0</v>
      </c>
      <c r="H29">
        <v>17773.650000000001</v>
      </c>
      <c r="I29">
        <v>268</v>
      </c>
      <c r="J29">
        <v>165</v>
      </c>
      <c r="K29">
        <v>662</v>
      </c>
      <c r="L29">
        <v>0.1</v>
      </c>
      <c r="M29">
        <v>17773.650000000001</v>
      </c>
      <c r="AI29" s="1"/>
    </row>
    <row r="30" spans="2:35" x14ac:dyDescent="0.25">
      <c r="B30">
        <v>15300</v>
      </c>
      <c r="C30" s="1">
        <v>44812</v>
      </c>
      <c r="D30">
        <v>0</v>
      </c>
      <c r="E30">
        <v>0</v>
      </c>
      <c r="F30">
        <v>0</v>
      </c>
      <c r="G30">
        <v>0</v>
      </c>
      <c r="H30">
        <v>17773.650000000001</v>
      </c>
      <c r="I30">
        <v>373</v>
      </c>
      <c r="J30">
        <v>195</v>
      </c>
      <c r="K30">
        <v>1617</v>
      </c>
      <c r="L30">
        <v>0.05</v>
      </c>
      <c r="M30">
        <v>17773.650000000001</v>
      </c>
      <c r="AI30" s="1"/>
    </row>
    <row r="31" spans="2:35" x14ac:dyDescent="0.25">
      <c r="B31">
        <v>15350</v>
      </c>
      <c r="C31" s="1">
        <v>44812</v>
      </c>
      <c r="D31">
        <v>0</v>
      </c>
      <c r="E31">
        <v>0</v>
      </c>
      <c r="F31">
        <v>0</v>
      </c>
      <c r="G31">
        <v>0</v>
      </c>
      <c r="H31">
        <v>17773.650000000001</v>
      </c>
      <c r="I31">
        <v>74</v>
      </c>
      <c r="J31">
        <v>-16</v>
      </c>
      <c r="K31">
        <v>315</v>
      </c>
      <c r="L31">
        <v>0.1</v>
      </c>
      <c r="M31">
        <v>17773.650000000001</v>
      </c>
      <c r="AI31" s="1"/>
    </row>
    <row r="32" spans="2:35" x14ac:dyDescent="0.25">
      <c r="B32">
        <v>15400</v>
      </c>
      <c r="C32" s="1">
        <v>44812</v>
      </c>
      <c r="D32">
        <v>0</v>
      </c>
      <c r="E32">
        <v>0</v>
      </c>
      <c r="F32">
        <v>0</v>
      </c>
      <c r="G32">
        <v>0</v>
      </c>
      <c r="H32">
        <v>17773.650000000001</v>
      </c>
      <c r="I32">
        <v>445</v>
      </c>
      <c r="J32">
        <v>49</v>
      </c>
      <c r="K32">
        <v>2597</v>
      </c>
      <c r="L32">
        <v>0.1</v>
      </c>
      <c r="M32">
        <v>17773.650000000001</v>
      </c>
      <c r="AI32" s="1"/>
    </row>
    <row r="33" spans="2:35" x14ac:dyDescent="0.25">
      <c r="B33">
        <v>15450</v>
      </c>
      <c r="C33" s="1">
        <v>44812</v>
      </c>
      <c r="D33">
        <v>0</v>
      </c>
      <c r="E33">
        <v>0</v>
      </c>
      <c r="F33">
        <v>0</v>
      </c>
      <c r="G33">
        <v>0</v>
      </c>
      <c r="H33">
        <v>17773.650000000001</v>
      </c>
      <c r="I33">
        <v>107</v>
      </c>
      <c r="J33">
        <v>6</v>
      </c>
      <c r="K33">
        <v>173</v>
      </c>
      <c r="L33">
        <v>0.05</v>
      </c>
      <c r="M33">
        <v>17773.650000000001</v>
      </c>
      <c r="AI33" s="1"/>
    </row>
    <row r="34" spans="2:35" x14ac:dyDescent="0.25">
      <c r="B34">
        <v>15500</v>
      </c>
      <c r="C34" s="1">
        <v>44812</v>
      </c>
      <c r="D34">
        <v>0</v>
      </c>
      <c r="E34">
        <v>0</v>
      </c>
      <c r="F34">
        <v>0</v>
      </c>
      <c r="G34">
        <v>0</v>
      </c>
      <c r="H34">
        <v>17773.650000000001</v>
      </c>
      <c r="I34">
        <v>11008</v>
      </c>
      <c r="J34">
        <v>-4288</v>
      </c>
      <c r="K34">
        <v>37459</v>
      </c>
      <c r="L34">
        <v>0.15</v>
      </c>
      <c r="M34">
        <v>17773.650000000001</v>
      </c>
      <c r="AI34" s="1"/>
    </row>
    <row r="35" spans="2:35" x14ac:dyDescent="0.25">
      <c r="B35">
        <v>15550</v>
      </c>
      <c r="C35" s="1">
        <v>44812</v>
      </c>
      <c r="D35">
        <v>0</v>
      </c>
      <c r="E35">
        <v>0</v>
      </c>
      <c r="F35">
        <v>0</v>
      </c>
      <c r="G35">
        <v>0</v>
      </c>
      <c r="H35">
        <v>17773.650000000001</v>
      </c>
      <c r="I35">
        <v>172</v>
      </c>
      <c r="J35">
        <v>-49</v>
      </c>
      <c r="K35">
        <v>341</v>
      </c>
      <c r="L35">
        <v>0.1</v>
      </c>
      <c r="M35">
        <v>17773.650000000001</v>
      </c>
      <c r="AI35" s="1"/>
    </row>
    <row r="36" spans="2:35" x14ac:dyDescent="0.25">
      <c r="B36">
        <v>15600</v>
      </c>
      <c r="C36" s="1">
        <v>44812</v>
      </c>
      <c r="D36">
        <v>0</v>
      </c>
      <c r="E36">
        <v>0</v>
      </c>
      <c r="F36">
        <v>0</v>
      </c>
      <c r="G36">
        <v>0</v>
      </c>
      <c r="H36">
        <v>17773.650000000001</v>
      </c>
      <c r="I36">
        <v>5105</v>
      </c>
      <c r="J36">
        <v>-81</v>
      </c>
      <c r="K36">
        <v>16210</v>
      </c>
      <c r="L36">
        <v>0.05</v>
      </c>
      <c r="M36">
        <v>17773.650000000001</v>
      </c>
      <c r="AI36" s="1"/>
    </row>
    <row r="37" spans="2:35" x14ac:dyDescent="0.25">
      <c r="B37">
        <v>15650</v>
      </c>
      <c r="C37" s="1">
        <v>44812</v>
      </c>
      <c r="D37">
        <v>0</v>
      </c>
      <c r="E37">
        <v>0</v>
      </c>
      <c r="F37">
        <v>0</v>
      </c>
      <c r="G37">
        <v>0</v>
      </c>
      <c r="H37">
        <v>17773.650000000001</v>
      </c>
      <c r="I37">
        <v>99</v>
      </c>
      <c r="J37">
        <v>-72</v>
      </c>
      <c r="K37">
        <v>519</v>
      </c>
      <c r="L37">
        <v>0.1</v>
      </c>
      <c r="M37">
        <v>17773.650000000001</v>
      </c>
      <c r="AI37" s="1"/>
    </row>
    <row r="38" spans="2:35" x14ac:dyDescent="0.25">
      <c r="B38">
        <v>15700</v>
      </c>
      <c r="C38" s="1">
        <v>44812</v>
      </c>
      <c r="D38">
        <v>2</v>
      </c>
      <c r="E38">
        <v>0</v>
      </c>
      <c r="F38">
        <v>0</v>
      </c>
      <c r="G38">
        <v>0</v>
      </c>
      <c r="H38">
        <v>17773.650000000001</v>
      </c>
      <c r="I38">
        <v>3267</v>
      </c>
      <c r="J38">
        <v>-11084</v>
      </c>
      <c r="K38">
        <v>30278</v>
      </c>
      <c r="L38">
        <v>0.05</v>
      </c>
      <c r="M38">
        <v>17773.650000000001</v>
      </c>
      <c r="AI38" s="1"/>
    </row>
    <row r="39" spans="2:35" x14ac:dyDescent="0.25">
      <c r="B39">
        <v>15750</v>
      </c>
      <c r="C39" s="1">
        <v>44812</v>
      </c>
      <c r="D39">
        <v>2</v>
      </c>
      <c r="E39">
        <v>0</v>
      </c>
      <c r="F39">
        <v>0</v>
      </c>
      <c r="G39">
        <v>0</v>
      </c>
      <c r="H39">
        <v>17773.650000000001</v>
      </c>
      <c r="I39">
        <v>113</v>
      </c>
      <c r="J39">
        <v>-15</v>
      </c>
      <c r="K39">
        <v>305</v>
      </c>
      <c r="L39">
        <v>0.1</v>
      </c>
      <c r="M39">
        <v>17773.650000000001</v>
      </c>
      <c r="AI39" s="1"/>
    </row>
    <row r="40" spans="2:35" x14ac:dyDescent="0.25">
      <c r="B40">
        <v>15800</v>
      </c>
      <c r="C40" s="1">
        <v>44812</v>
      </c>
      <c r="D40">
        <v>0</v>
      </c>
      <c r="E40">
        <v>0</v>
      </c>
      <c r="F40">
        <v>0</v>
      </c>
      <c r="G40">
        <v>0</v>
      </c>
      <c r="H40">
        <v>17773.650000000001</v>
      </c>
      <c r="I40">
        <v>4486</v>
      </c>
      <c r="J40">
        <v>-14412</v>
      </c>
      <c r="K40">
        <v>22752</v>
      </c>
      <c r="L40">
        <v>0.05</v>
      </c>
      <c r="M40">
        <v>17773.650000000001</v>
      </c>
      <c r="AI40" s="1"/>
    </row>
    <row r="41" spans="2:35" x14ac:dyDescent="0.25">
      <c r="B41">
        <v>15850</v>
      </c>
      <c r="C41" s="1">
        <v>44812</v>
      </c>
      <c r="D41">
        <v>0</v>
      </c>
      <c r="E41">
        <v>0</v>
      </c>
      <c r="F41">
        <v>0</v>
      </c>
      <c r="G41">
        <v>0</v>
      </c>
      <c r="H41">
        <v>17773.650000000001</v>
      </c>
      <c r="I41">
        <v>179</v>
      </c>
      <c r="J41">
        <v>-33</v>
      </c>
      <c r="K41">
        <v>604</v>
      </c>
      <c r="L41">
        <v>0.05</v>
      </c>
      <c r="M41">
        <v>17773.650000000001</v>
      </c>
      <c r="AI41" s="1"/>
    </row>
    <row r="42" spans="2:35" x14ac:dyDescent="0.25">
      <c r="B42">
        <v>15900</v>
      </c>
      <c r="C42" s="1">
        <v>44812</v>
      </c>
      <c r="D42">
        <v>1</v>
      </c>
      <c r="E42">
        <v>0</v>
      </c>
      <c r="F42">
        <v>1</v>
      </c>
      <c r="G42">
        <v>1855</v>
      </c>
      <c r="H42">
        <v>17773.650000000001</v>
      </c>
      <c r="I42">
        <v>5546</v>
      </c>
      <c r="J42">
        <v>-882</v>
      </c>
      <c r="K42">
        <v>11010</v>
      </c>
      <c r="L42">
        <v>0.05</v>
      </c>
      <c r="M42">
        <v>17773.650000000001</v>
      </c>
      <c r="AI42" s="1"/>
    </row>
    <row r="43" spans="2:35" x14ac:dyDescent="0.25">
      <c r="B43">
        <v>15950</v>
      </c>
      <c r="C43" s="1">
        <v>44812</v>
      </c>
      <c r="D43">
        <v>0</v>
      </c>
      <c r="E43">
        <v>0</v>
      </c>
      <c r="F43">
        <v>0</v>
      </c>
      <c r="G43">
        <v>0</v>
      </c>
      <c r="H43">
        <v>17773.650000000001</v>
      </c>
      <c r="I43">
        <v>193</v>
      </c>
      <c r="J43">
        <v>-73</v>
      </c>
      <c r="K43">
        <v>623</v>
      </c>
      <c r="L43">
        <v>0.05</v>
      </c>
      <c r="M43">
        <v>17773.650000000001</v>
      </c>
      <c r="AI43" s="1"/>
    </row>
    <row r="44" spans="2:35" x14ac:dyDescent="0.25">
      <c r="B44">
        <v>16000</v>
      </c>
      <c r="C44" s="1">
        <v>44812</v>
      </c>
      <c r="D44">
        <v>99</v>
      </c>
      <c r="E44">
        <v>-85</v>
      </c>
      <c r="F44">
        <v>138</v>
      </c>
      <c r="G44">
        <v>1734.6</v>
      </c>
      <c r="H44">
        <v>17773.650000000001</v>
      </c>
      <c r="I44">
        <v>19549</v>
      </c>
      <c r="J44">
        <v>-34846</v>
      </c>
      <c r="K44">
        <v>120997</v>
      </c>
      <c r="L44">
        <v>0.05</v>
      </c>
      <c r="M44">
        <v>17773.650000000001</v>
      </c>
      <c r="AI44" s="1"/>
    </row>
    <row r="45" spans="2:35" x14ac:dyDescent="0.25">
      <c r="B45">
        <v>16050</v>
      </c>
      <c r="C45" s="1">
        <v>44812</v>
      </c>
      <c r="D45">
        <v>1</v>
      </c>
      <c r="E45">
        <v>0</v>
      </c>
      <c r="F45">
        <v>0</v>
      </c>
      <c r="G45">
        <v>0</v>
      </c>
      <c r="H45">
        <v>17773.650000000001</v>
      </c>
      <c r="I45">
        <v>567</v>
      </c>
      <c r="J45">
        <v>133</v>
      </c>
      <c r="K45">
        <v>1337</v>
      </c>
      <c r="L45">
        <v>0.1</v>
      </c>
      <c r="M45">
        <v>17773.650000000001</v>
      </c>
      <c r="AI45" s="1"/>
    </row>
    <row r="46" spans="2:35" x14ac:dyDescent="0.25">
      <c r="B46">
        <v>16100</v>
      </c>
      <c r="C46" s="1">
        <v>44812</v>
      </c>
      <c r="D46">
        <v>11</v>
      </c>
      <c r="E46">
        <v>-1</v>
      </c>
      <c r="F46">
        <v>3</v>
      </c>
      <c r="G46">
        <v>1645</v>
      </c>
      <c r="H46">
        <v>17773.650000000001</v>
      </c>
      <c r="I46">
        <v>2560</v>
      </c>
      <c r="J46">
        <v>-4633</v>
      </c>
      <c r="K46">
        <v>12534</v>
      </c>
      <c r="L46">
        <v>0.1</v>
      </c>
      <c r="M46">
        <v>17773.650000000001</v>
      </c>
      <c r="AI46" s="1"/>
    </row>
    <row r="47" spans="2:35" x14ac:dyDescent="0.25">
      <c r="B47">
        <v>16150</v>
      </c>
      <c r="C47" s="1">
        <v>44812</v>
      </c>
      <c r="D47">
        <v>0</v>
      </c>
      <c r="E47">
        <v>0</v>
      </c>
      <c r="F47">
        <v>0</v>
      </c>
      <c r="G47">
        <v>0</v>
      </c>
      <c r="H47">
        <v>17773.650000000001</v>
      </c>
      <c r="I47">
        <v>853</v>
      </c>
      <c r="J47">
        <v>-1247</v>
      </c>
      <c r="K47">
        <v>2970</v>
      </c>
      <c r="L47">
        <v>0.1</v>
      </c>
      <c r="M47">
        <v>17773.650000000001</v>
      </c>
      <c r="AI47" s="1"/>
    </row>
    <row r="48" spans="2:35" x14ac:dyDescent="0.25">
      <c r="B48">
        <v>16200</v>
      </c>
      <c r="C48" s="1">
        <v>44812</v>
      </c>
      <c r="D48">
        <v>426</v>
      </c>
      <c r="E48">
        <v>-406</v>
      </c>
      <c r="F48">
        <v>832</v>
      </c>
      <c r="G48">
        <v>1570</v>
      </c>
      <c r="H48">
        <v>17773.650000000001</v>
      </c>
      <c r="I48">
        <v>8993</v>
      </c>
      <c r="J48">
        <v>-833</v>
      </c>
      <c r="K48">
        <v>10437</v>
      </c>
      <c r="L48">
        <v>0.1</v>
      </c>
      <c r="M48">
        <v>17773.650000000001</v>
      </c>
      <c r="AI48" s="1"/>
    </row>
    <row r="49" spans="2:35" x14ac:dyDescent="0.25">
      <c r="B49">
        <v>16250</v>
      </c>
      <c r="C49" s="1">
        <v>44812</v>
      </c>
      <c r="D49">
        <v>6</v>
      </c>
      <c r="E49">
        <v>0</v>
      </c>
      <c r="F49">
        <v>0</v>
      </c>
      <c r="G49">
        <v>0</v>
      </c>
      <c r="H49">
        <v>17773.650000000001</v>
      </c>
      <c r="I49">
        <v>7876</v>
      </c>
      <c r="J49">
        <v>-56</v>
      </c>
      <c r="K49">
        <v>6424</v>
      </c>
      <c r="L49">
        <v>0.05</v>
      </c>
      <c r="M49">
        <v>17773.650000000001</v>
      </c>
      <c r="AI49" s="1"/>
    </row>
    <row r="50" spans="2:35" x14ac:dyDescent="0.25">
      <c r="B50">
        <v>16300</v>
      </c>
      <c r="C50" s="1">
        <v>44812</v>
      </c>
      <c r="D50">
        <v>151</v>
      </c>
      <c r="E50">
        <v>-57</v>
      </c>
      <c r="F50">
        <v>209</v>
      </c>
      <c r="G50">
        <v>1470</v>
      </c>
      <c r="H50">
        <v>17773.650000000001</v>
      </c>
      <c r="I50">
        <v>11812</v>
      </c>
      <c r="J50">
        <v>-2112</v>
      </c>
      <c r="K50">
        <v>15441</v>
      </c>
      <c r="L50">
        <v>0.1</v>
      </c>
      <c r="M50">
        <v>17773.650000000001</v>
      </c>
      <c r="AI50" s="1"/>
    </row>
    <row r="51" spans="2:35" x14ac:dyDescent="0.25">
      <c r="B51">
        <v>16350</v>
      </c>
      <c r="C51" s="1">
        <v>44812</v>
      </c>
      <c r="D51">
        <v>11</v>
      </c>
      <c r="E51">
        <v>0</v>
      </c>
      <c r="F51">
        <v>10</v>
      </c>
      <c r="G51">
        <v>1395</v>
      </c>
      <c r="H51">
        <v>17773.650000000001</v>
      </c>
      <c r="I51">
        <v>1373</v>
      </c>
      <c r="J51">
        <v>-1910</v>
      </c>
      <c r="K51">
        <v>5343</v>
      </c>
      <c r="L51">
        <v>0.1</v>
      </c>
      <c r="M51">
        <v>17773.650000000001</v>
      </c>
      <c r="AI51" s="1"/>
    </row>
    <row r="52" spans="2:35" x14ac:dyDescent="0.25">
      <c r="B52">
        <v>16400</v>
      </c>
      <c r="C52" s="1">
        <v>44812</v>
      </c>
      <c r="D52">
        <v>501</v>
      </c>
      <c r="E52">
        <v>-170</v>
      </c>
      <c r="F52">
        <v>657</v>
      </c>
      <c r="G52">
        <v>1343.7</v>
      </c>
      <c r="H52">
        <v>17773.650000000001</v>
      </c>
      <c r="I52">
        <v>6734</v>
      </c>
      <c r="J52">
        <v>-3924</v>
      </c>
      <c r="K52">
        <v>26690</v>
      </c>
      <c r="L52">
        <v>0.2</v>
      </c>
      <c r="M52">
        <v>17773.650000000001</v>
      </c>
      <c r="AI52" s="1"/>
    </row>
    <row r="53" spans="2:35" x14ac:dyDescent="0.25">
      <c r="B53">
        <v>16450</v>
      </c>
      <c r="C53" s="1">
        <v>44812</v>
      </c>
      <c r="D53">
        <v>4</v>
      </c>
      <c r="E53">
        <v>0</v>
      </c>
      <c r="F53">
        <v>0</v>
      </c>
      <c r="G53">
        <v>0</v>
      </c>
      <c r="H53">
        <v>17773.650000000001</v>
      </c>
      <c r="I53">
        <v>1414</v>
      </c>
      <c r="J53">
        <v>-638</v>
      </c>
      <c r="K53">
        <v>14767</v>
      </c>
      <c r="L53">
        <v>0.1</v>
      </c>
      <c r="M53">
        <v>17773.650000000001</v>
      </c>
      <c r="AI53" s="1"/>
    </row>
    <row r="54" spans="2:35" x14ac:dyDescent="0.25">
      <c r="B54">
        <v>16500</v>
      </c>
      <c r="C54" s="1">
        <v>44812</v>
      </c>
      <c r="D54">
        <v>798</v>
      </c>
      <c r="E54">
        <v>-547</v>
      </c>
      <c r="F54">
        <v>879</v>
      </c>
      <c r="G54">
        <v>1276.95</v>
      </c>
      <c r="H54">
        <v>17773.650000000001</v>
      </c>
      <c r="I54">
        <v>36288</v>
      </c>
      <c r="J54">
        <v>-19585</v>
      </c>
      <c r="K54">
        <v>156696</v>
      </c>
      <c r="L54">
        <v>0.1</v>
      </c>
      <c r="M54">
        <v>17773.650000000001</v>
      </c>
      <c r="AI54" s="1"/>
    </row>
    <row r="55" spans="2:35" x14ac:dyDescent="0.25">
      <c r="B55">
        <v>16550</v>
      </c>
      <c r="C55" s="1">
        <v>44812</v>
      </c>
      <c r="D55">
        <v>43</v>
      </c>
      <c r="E55">
        <v>0</v>
      </c>
      <c r="F55">
        <v>0</v>
      </c>
      <c r="G55">
        <v>0</v>
      </c>
      <c r="H55">
        <v>17773.650000000001</v>
      </c>
      <c r="I55">
        <v>3173</v>
      </c>
      <c r="J55">
        <v>353</v>
      </c>
      <c r="K55">
        <v>17739</v>
      </c>
      <c r="L55">
        <v>0.15</v>
      </c>
      <c r="M55">
        <v>17773.650000000001</v>
      </c>
      <c r="AI55" s="1"/>
    </row>
    <row r="56" spans="2:35" x14ac:dyDescent="0.25">
      <c r="B56">
        <v>16600</v>
      </c>
      <c r="C56" s="1">
        <v>44812</v>
      </c>
      <c r="D56">
        <v>142</v>
      </c>
      <c r="E56">
        <v>-83</v>
      </c>
      <c r="F56">
        <v>179</v>
      </c>
      <c r="G56">
        <v>1164.7</v>
      </c>
      <c r="H56">
        <v>17773.650000000001</v>
      </c>
      <c r="I56">
        <v>15897</v>
      </c>
      <c r="J56">
        <v>-1236</v>
      </c>
      <c r="K56">
        <v>59453</v>
      </c>
      <c r="L56">
        <v>0.15</v>
      </c>
      <c r="M56">
        <v>17773.650000000001</v>
      </c>
      <c r="AI56" s="1"/>
    </row>
    <row r="57" spans="2:35" x14ac:dyDescent="0.25">
      <c r="B57">
        <v>16650</v>
      </c>
      <c r="C57" s="1">
        <v>44812</v>
      </c>
      <c r="D57">
        <v>45</v>
      </c>
      <c r="E57">
        <v>0</v>
      </c>
      <c r="F57">
        <v>7</v>
      </c>
      <c r="G57">
        <v>1077</v>
      </c>
      <c r="H57">
        <v>17773.650000000001</v>
      </c>
      <c r="I57">
        <v>3853</v>
      </c>
      <c r="J57">
        <v>-84</v>
      </c>
      <c r="K57">
        <v>23072</v>
      </c>
      <c r="L57">
        <v>0.2</v>
      </c>
      <c r="M57">
        <v>17773.650000000001</v>
      </c>
      <c r="AI57" s="1"/>
    </row>
    <row r="58" spans="2:35" x14ac:dyDescent="0.25">
      <c r="B58">
        <v>16700</v>
      </c>
      <c r="C58" s="1">
        <v>44812</v>
      </c>
      <c r="D58">
        <v>284</v>
      </c>
      <c r="E58">
        <v>-194</v>
      </c>
      <c r="F58">
        <v>351</v>
      </c>
      <c r="G58">
        <v>1070</v>
      </c>
      <c r="H58">
        <v>17773.650000000001</v>
      </c>
      <c r="I58">
        <v>27569</v>
      </c>
      <c r="J58">
        <v>-6657</v>
      </c>
      <c r="K58">
        <v>83692</v>
      </c>
      <c r="L58">
        <v>0.15</v>
      </c>
      <c r="M58">
        <v>17773.650000000001</v>
      </c>
      <c r="AI58" s="1"/>
    </row>
    <row r="59" spans="2:35" x14ac:dyDescent="0.25">
      <c r="B59">
        <v>16750</v>
      </c>
      <c r="C59" s="1">
        <v>44812</v>
      </c>
      <c r="D59">
        <v>21</v>
      </c>
      <c r="E59">
        <v>-2</v>
      </c>
      <c r="F59">
        <v>12</v>
      </c>
      <c r="G59">
        <v>982.4</v>
      </c>
      <c r="H59">
        <v>17773.650000000001</v>
      </c>
      <c r="I59">
        <v>6626</v>
      </c>
      <c r="J59">
        <v>-2342</v>
      </c>
      <c r="K59">
        <v>38764</v>
      </c>
      <c r="L59">
        <v>0.15</v>
      </c>
      <c r="M59">
        <v>17773.650000000001</v>
      </c>
      <c r="AI59" s="1"/>
    </row>
    <row r="60" spans="2:35" x14ac:dyDescent="0.25">
      <c r="B60">
        <v>16800</v>
      </c>
      <c r="C60" s="1">
        <v>44812</v>
      </c>
      <c r="D60">
        <v>399</v>
      </c>
      <c r="E60">
        <v>-345</v>
      </c>
      <c r="F60">
        <v>779</v>
      </c>
      <c r="G60">
        <v>979.5</v>
      </c>
      <c r="H60">
        <v>17773.650000000001</v>
      </c>
      <c r="I60">
        <v>33967</v>
      </c>
      <c r="J60">
        <v>-17399</v>
      </c>
      <c r="K60">
        <v>143818</v>
      </c>
      <c r="L60">
        <v>0.1</v>
      </c>
      <c r="M60">
        <v>17773.650000000001</v>
      </c>
      <c r="AI60" s="1"/>
    </row>
    <row r="61" spans="2:35" x14ac:dyDescent="0.25">
      <c r="B61">
        <v>16850</v>
      </c>
      <c r="C61" s="1">
        <v>44812</v>
      </c>
      <c r="D61">
        <v>22</v>
      </c>
      <c r="E61">
        <v>-29</v>
      </c>
      <c r="F61">
        <v>39</v>
      </c>
      <c r="G61">
        <v>900</v>
      </c>
      <c r="H61">
        <v>17773.650000000001</v>
      </c>
      <c r="I61">
        <v>9601</v>
      </c>
      <c r="J61">
        <v>-2263</v>
      </c>
      <c r="K61">
        <v>57565</v>
      </c>
      <c r="L61">
        <v>0.15</v>
      </c>
      <c r="M61">
        <v>17773.650000000001</v>
      </c>
      <c r="AI61" s="1"/>
    </row>
    <row r="62" spans="2:35" x14ac:dyDescent="0.25">
      <c r="B62">
        <v>16900</v>
      </c>
      <c r="C62" s="1">
        <v>44812</v>
      </c>
      <c r="D62">
        <v>244</v>
      </c>
      <c r="E62">
        <v>-298</v>
      </c>
      <c r="F62">
        <v>501</v>
      </c>
      <c r="G62">
        <v>876.9</v>
      </c>
      <c r="H62">
        <v>17773.650000000001</v>
      </c>
      <c r="I62">
        <v>30049</v>
      </c>
      <c r="J62">
        <v>-23236</v>
      </c>
      <c r="K62">
        <v>176449</v>
      </c>
      <c r="L62">
        <v>0.2</v>
      </c>
      <c r="M62">
        <v>17773.650000000001</v>
      </c>
      <c r="AI62" s="1"/>
    </row>
    <row r="63" spans="2:35" x14ac:dyDescent="0.25">
      <c r="B63">
        <v>16950</v>
      </c>
      <c r="C63" s="1">
        <v>44812</v>
      </c>
      <c r="D63">
        <v>33</v>
      </c>
      <c r="E63">
        <v>-25</v>
      </c>
      <c r="F63">
        <v>32</v>
      </c>
      <c r="G63">
        <v>800</v>
      </c>
      <c r="H63">
        <v>17773.650000000001</v>
      </c>
      <c r="I63">
        <v>8104</v>
      </c>
      <c r="J63">
        <v>-9192</v>
      </c>
      <c r="K63">
        <v>72952</v>
      </c>
      <c r="L63">
        <v>0.15</v>
      </c>
      <c r="M63">
        <v>17773.650000000001</v>
      </c>
      <c r="AI63" s="1"/>
    </row>
    <row r="64" spans="2:35" x14ac:dyDescent="0.25">
      <c r="B64">
        <v>17000</v>
      </c>
      <c r="C64" s="1">
        <v>44812</v>
      </c>
      <c r="D64">
        <v>1003</v>
      </c>
      <c r="E64">
        <v>-997</v>
      </c>
      <c r="F64">
        <v>2908</v>
      </c>
      <c r="G64">
        <v>770.1</v>
      </c>
      <c r="H64">
        <v>17773.650000000001</v>
      </c>
      <c r="I64">
        <v>171306</v>
      </c>
      <c r="J64">
        <v>-41270</v>
      </c>
      <c r="K64">
        <v>751353</v>
      </c>
      <c r="L64">
        <v>0.25</v>
      </c>
      <c r="M64">
        <v>17773.650000000001</v>
      </c>
      <c r="AI64" s="1"/>
    </row>
    <row r="65" spans="2:35" x14ac:dyDescent="0.25">
      <c r="B65">
        <v>17050</v>
      </c>
      <c r="C65" s="1">
        <v>44812</v>
      </c>
      <c r="D65">
        <v>230</v>
      </c>
      <c r="E65">
        <v>41</v>
      </c>
      <c r="F65">
        <v>914</v>
      </c>
      <c r="G65">
        <v>718.85</v>
      </c>
      <c r="H65">
        <v>17773.650000000001</v>
      </c>
      <c r="I65">
        <v>13255</v>
      </c>
      <c r="J65">
        <v>-9080</v>
      </c>
      <c r="K65">
        <v>109968</v>
      </c>
      <c r="L65">
        <v>0.3</v>
      </c>
      <c r="M65">
        <v>17773.650000000001</v>
      </c>
      <c r="AI65" s="1"/>
    </row>
    <row r="66" spans="2:35" x14ac:dyDescent="0.25">
      <c r="B66">
        <v>17100</v>
      </c>
      <c r="C66" s="1">
        <v>44812</v>
      </c>
      <c r="D66">
        <v>1909</v>
      </c>
      <c r="E66">
        <v>-375</v>
      </c>
      <c r="F66">
        <v>2036</v>
      </c>
      <c r="G66">
        <v>675.3</v>
      </c>
      <c r="H66">
        <v>17773.650000000001</v>
      </c>
      <c r="I66">
        <v>86727</v>
      </c>
      <c r="J66">
        <v>6868</v>
      </c>
      <c r="K66">
        <v>483755</v>
      </c>
      <c r="L66">
        <v>0.3</v>
      </c>
      <c r="M66">
        <v>17773.650000000001</v>
      </c>
      <c r="AI66" s="1"/>
    </row>
    <row r="67" spans="2:35" x14ac:dyDescent="0.25">
      <c r="B67">
        <v>17150</v>
      </c>
      <c r="C67" s="1">
        <v>44812</v>
      </c>
      <c r="D67">
        <v>222</v>
      </c>
      <c r="E67">
        <v>-71</v>
      </c>
      <c r="F67">
        <v>244</v>
      </c>
      <c r="G67">
        <v>618.5</v>
      </c>
      <c r="H67">
        <v>17773.650000000001</v>
      </c>
      <c r="I67">
        <v>20018</v>
      </c>
      <c r="J67">
        <v>-2309</v>
      </c>
      <c r="K67">
        <v>162365</v>
      </c>
      <c r="L67">
        <v>0.3</v>
      </c>
      <c r="M67">
        <v>17773.650000000001</v>
      </c>
      <c r="AI67" s="1"/>
    </row>
    <row r="68" spans="2:35" x14ac:dyDescent="0.25">
      <c r="B68">
        <v>17200</v>
      </c>
      <c r="C68" s="1">
        <v>44812</v>
      </c>
      <c r="D68">
        <v>902</v>
      </c>
      <c r="E68">
        <v>-447</v>
      </c>
      <c r="F68">
        <v>2205</v>
      </c>
      <c r="G68">
        <v>568.79999999999995</v>
      </c>
      <c r="H68">
        <v>17773.650000000001</v>
      </c>
      <c r="I68">
        <v>74469</v>
      </c>
      <c r="J68">
        <v>-900</v>
      </c>
      <c r="K68">
        <v>667562</v>
      </c>
      <c r="L68">
        <v>0.35</v>
      </c>
      <c r="M68">
        <v>17773.650000000001</v>
      </c>
      <c r="AI68" s="1"/>
    </row>
    <row r="69" spans="2:35" x14ac:dyDescent="0.25">
      <c r="B69">
        <v>17250</v>
      </c>
      <c r="C69" s="1">
        <v>44812</v>
      </c>
      <c r="D69">
        <v>252</v>
      </c>
      <c r="E69">
        <v>-169</v>
      </c>
      <c r="F69">
        <v>485</v>
      </c>
      <c r="G69">
        <v>518.25</v>
      </c>
      <c r="H69">
        <v>17773.650000000001</v>
      </c>
      <c r="I69">
        <v>36255</v>
      </c>
      <c r="J69">
        <v>-1729</v>
      </c>
      <c r="K69">
        <v>389707</v>
      </c>
      <c r="L69">
        <v>0.3</v>
      </c>
      <c r="M69">
        <v>17773.650000000001</v>
      </c>
      <c r="AI69" s="1"/>
    </row>
    <row r="70" spans="2:35" x14ac:dyDescent="0.25">
      <c r="B70">
        <v>17300</v>
      </c>
      <c r="C70" s="1">
        <v>44812</v>
      </c>
      <c r="D70">
        <v>2910</v>
      </c>
      <c r="E70">
        <v>-1315</v>
      </c>
      <c r="F70">
        <v>5991</v>
      </c>
      <c r="G70">
        <v>468</v>
      </c>
      <c r="H70">
        <v>17773.650000000001</v>
      </c>
      <c r="I70">
        <v>147701</v>
      </c>
      <c r="J70">
        <v>66116</v>
      </c>
      <c r="K70">
        <v>1094286</v>
      </c>
      <c r="L70">
        <v>0.4</v>
      </c>
      <c r="M70">
        <v>17773.650000000001</v>
      </c>
      <c r="AI70" s="1"/>
    </row>
    <row r="71" spans="2:35" x14ac:dyDescent="0.25">
      <c r="B71">
        <v>17350</v>
      </c>
      <c r="C71" s="1">
        <v>44812</v>
      </c>
      <c r="D71">
        <v>871</v>
      </c>
      <c r="E71">
        <v>-363</v>
      </c>
      <c r="F71">
        <v>1744</v>
      </c>
      <c r="G71">
        <v>418.55</v>
      </c>
      <c r="H71">
        <v>17773.650000000001</v>
      </c>
      <c r="I71">
        <v>59911</v>
      </c>
      <c r="J71">
        <v>18533</v>
      </c>
      <c r="K71">
        <v>606008</v>
      </c>
      <c r="L71">
        <v>0.5</v>
      </c>
      <c r="M71">
        <v>17773.650000000001</v>
      </c>
      <c r="AI71" s="1"/>
    </row>
    <row r="72" spans="2:35" x14ac:dyDescent="0.25">
      <c r="B72">
        <v>17400</v>
      </c>
      <c r="C72" s="1">
        <v>44812</v>
      </c>
      <c r="D72">
        <v>4762</v>
      </c>
      <c r="E72">
        <v>-3336</v>
      </c>
      <c r="F72">
        <v>25599</v>
      </c>
      <c r="G72">
        <v>368.1</v>
      </c>
      <c r="H72">
        <v>17773.650000000001</v>
      </c>
      <c r="I72">
        <v>128901</v>
      </c>
      <c r="J72">
        <v>31061</v>
      </c>
      <c r="K72">
        <v>1466931</v>
      </c>
      <c r="L72">
        <v>0.55000000000000004</v>
      </c>
      <c r="M72">
        <v>17773.650000000001</v>
      </c>
      <c r="AI72" s="1"/>
    </row>
    <row r="73" spans="2:35" x14ac:dyDescent="0.25">
      <c r="B73">
        <v>17450</v>
      </c>
      <c r="C73" s="1">
        <v>44812</v>
      </c>
      <c r="D73">
        <v>1477</v>
      </c>
      <c r="E73">
        <v>-946</v>
      </c>
      <c r="F73">
        <v>12905</v>
      </c>
      <c r="G73">
        <v>317.7</v>
      </c>
      <c r="H73">
        <v>17773.650000000001</v>
      </c>
      <c r="I73">
        <v>41806</v>
      </c>
      <c r="J73">
        <v>1734</v>
      </c>
      <c r="K73">
        <v>956115</v>
      </c>
      <c r="L73">
        <v>0.6</v>
      </c>
      <c r="M73">
        <v>17773.650000000001</v>
      </c>
      <c r="AI73" s="1"/>
    </row>
    <row r="74" spans="2:35" x14ac:dyDescent="0.25">
      <c r="B74">
        <v>17500</v>
      </c>
      <c r="C74" s="1">
        <v>44812</v>
      </c>
      <c r="D74">
        <v>19768</v>
      </c>
      <c r="E74">
        <v>-18362</v>
      </c>
      <c r="F74">
        <v>178387</v>
      </c>
      <c r="G74">
        <v>269.5</v>
      </c>
      <c r="H74">
        <v>17773.650000000001</v>
      </c>
      <c r="I74">
        <v>147660</v>
      </c>
      <c r="J74">
        <v>-8841</v>
      </c>
      <c r="K74">
        <v>2897604</v>
      </c>
      <c r="L74">
        <v>0.75</v>
      </c>
      <c r="M74">
        <v>17773.650000000001</v>
      </c>
      <c r="AI74" s="1"/>
    </row>
    <row r="75" spans="2:35" x14ac:dyDescent="0.25">
      <c r="B75">
        <v>17550</v>
      </c>
      <c r="C75" s="1">
        <v>44812</v>
      </c>
      <c r="D75">
        <v>6463</v>
      </c>
      <c r="E75">
        <v>-8545</v>
      </c>
      <c r="F75">
        <v>129496</v>
      </c>
      <c r="G75">
        <v>218</v>
      </c>
      <c r="H75">
        <v>17773.650000000001</v>
      </c>
      <c r="I75">
        <v>68628</v>
      </c>
      <c r="J75">
        <v>16949</v>
      </c>
      <c r="K75">
        <v>1984311</v>
      </c>
      <c r="L75">
        <v>0.9</v>
      </c>
      <c r="M75">
        <v>17773.650000000001</v>
      </c>
      <c r="AI75" s="1"/>
    </row>
    <row r="76" spans="2:35" x14ac:dyDescent="0.25">
      <c r="B76">
        <v>17600</v>
      </c>
      <c r="C76" s="1">
        <v>44812</v>
      </c>
      <c r="D76">
        <v>32246</v>
      </c>
      <c r="E76">
        <v>-58548</v>
      </c>
      <c r="F76">
        <v>873156</v>
      </c>
      <c r="G76">
        <v>169.25</v>
      </c>
      <c r="H76">
        <v>17773.650000000001</v>
      </c>
      <c r="I76">
        <v>164053</v>
      </c>
      <c r="J76">
        <v>59915</v>
      </c>
      <c r="K76">
        <v>4751702</v>
      </c>
      <c r="L76">
        <v>1.05</v>
      </c>
      <c r="M76">
        <v>17773.650000000001</v>
      </c>
      <c r="AI76" s="1"/>
    </row>
    <row r="77" spans="2:35" x14ac:dyDescent="0.25">
      <c r="B77">
        <v>17650</v>
      </c>
      <c r="C77" s="1">
        <v>44812</v>
      </c>
      <c r="D77">
        <v>17550</v>
      </c>
      <c r="E77">
        <v>-49116</v>
      </c>
      <c r="F77">
        <v>918951</v>
      </c>
      <c r="G77">
        <v>119.75</v>
      </c>
      <c r="H77">
        <v>17773.650000000001</v>
      </c>
      <c r="I77">
        <v>86475</v>
      </c>
      <c r="J77">
        <v>59855</v>
      </c>
      <c r="K77">
        <v>3654907</v>
      </c>
      <c r="L77">
        <v>1.55</v>
      </c>
      <c r="M77">
        <v>17773.650000000001</v>
      </c>
      <c r="AI77" s="1"/>
    </row>
    <row r="78" spans="2:35" x14ac:dyDescent="0.25">
      <c r="B78">
        <v>17700</v>
      </c>
      <c r="C78" s="1">
        <v>44812</v>
      </c>
      <c r="D78">
        <v>94213</v>
      </c>
      <c r="E78">
        <v>-32733</v>
      </c>
      <c r="F78">
        <v>4028592</v>
      </c>
      <c r="G78">
        <v>72.349999999999994</v>
      </c>
      <c r="H78">
        <v>17773.650000000001</v>
      </c>
      <c r="I78">
        <v>216803</v>
      </c>
      <c r="J78">
        <v>185787</v>
      </c>
      <c r="K78">
        <v>7571426</v>
      </c>
      <c r="L78">
        <v>4.1500000000000004</v>
      </c>
      <c r="M78">
        <v>17773.650000000001</v>
      </c>
      <c r="AI78" s="1"/>
    </row>
    <row r="79" spans="2:35" x14ac:dyDescent="0.25">
      <c r="B79">
        <v>17750</v>
      </c>
      <c r="C79" s="1">
        <v>44812</v>
      </c>
      <c r="D79">
        <v>133301</v>
      </c>
      <c r="E79">
        <v>70648</v>
      </c>
      <c r="F79">
        <v>5618259</v>
      </c>
      <c r="G79">
        <v>30.8</v>
      </c>
      <c r="H79">
        <v>17773.650000000001</v>
      </c>
      <c r="I79">
        <v>145618</v>
      </c>
      <c r="J79">
        <v>140781</v>
      </c>
      <c r="K79">
        <v>4693705</v>
      </c>
      <c r="L79">
        <v>12.75</v>
      </c>
      <c r="M79">
        <v>17773.650000000001</v>
      </c>
      <c r="AI79" s="1"/>
    </row>
    <row r="80" spans="2:35" x14ac:dyDescent="0.25">
      <c r="B80">
        <v>17800</v>
      </c>
      <c r="C80" s="1">
        <v>44812</v>
      </c>
      <c r="D80">
        <v>303870</v>
      </c>
      <c r="E80">
        <v>170250</v>
      </c>
      <c r="F80">
        <v>8429484</v>
      </c>
      <c r="G80">
        <v>8.25</v>
      </c>
      <c r="H80">
        <v>17773.650000000001</v>
      </c>
      <c r="I80">
        <v>72849</v>
      </c>
      <c r="J80">
        <v>62853</v>
      </c>
      <c r="K80">
        <v>3119158</v>
      </c>
      <c r="L80">
        <v>40.049999999999997</v>
      </c>
      <c r="M80">
        <v>17773.650000000001</v>
      </c>
      <c r="AI80" s="1"/>
    </row>
    <row r="81" spans="2:35" x14ac:dyDescent="0.25">
      <c r="B81">
        <v>17850</v>
      </c>
      <c r="C81" s="1">
        <v>44812</v>
      </c>
      <c r="D81">
        <v>153321</v>
      </c>
      <c r="E81">
        <v>73428</v>
      </c>
      <c r="F81">
        <v>4063062</v>
      </c>
      <c r="G81">
        <v>1.4</v>
      </c>
      <c r="H81">
        <v>17773.650000000001</v>
      </c>
      <c r="I81">
        <v>11197</v>
      </c>
      <c r="J81">
        <v>9948</v>
      </c>
      <c r="K81">
        <v>607370</v>
      </c>
      <c r="L81">
        <v>83.2</v>
      </c>
      <c r="M81">
        <v>17773.650000000001</v>
      </c>
      <c r="AI81" s="1"/>
    </row>
    <row r="82" spans="2:35" x14ac:dyDescent="0.25">
      <c r="B82">
        <v>17900</v>
      </c>
      <c r="C82" s="1">
        <v>44812</v>
      </c>
      <c r="D82">
        <v>163245</v>
      </c>
      <c r="E82">
        <v>23355</v>
      </c>
      <c r="F82">
        <v>3710198</v>
      </c>
      <c r="G82">
        <v>0.4</v>
      </c>
      <c r="H82">
        <v>17773.650000000001</v>
      </c>
      <c r="I82">
        <v>10570</v>
      </c>
      <c r="J82">
        <v>7129</v>
      </c>
      <c r="K82">
        <v>438098</v>
      </c>
      <c r="L82">
        <v>132.19999999999999</v>
      </c>
      <c r="M82">
        <v>17773.650000000001</v>
      </c>
      <c r="AI82" s="1"/>
    </row>
    <row r="83" spans="2:35" x14ac:dyDescent="0.25">
      <c r="B83">
        <v>17950</v>
      </c>
      <c r="C83" s="1">
        <v>44812</v>
      </c>
      <c r="D83">
        <v>92111</v>
      </c>
      <c r="E83">
        <v>29621</v>
      </c>
      <c r="F83">
        <v>1388676</v>
      </c>
      <c r="G83">
        <v>0.25</v>
      </c>
      <c r="H83">
        <v>17773.650000000001</v>
      </c>
      <c r="I83">
        <v>1374</v>
      </c>
      <c r="J83">
        <v>1005</v>
      </c>
      <c r="K83">
        <v>58930</v>
      </c>
      <c r="L83">
        <v>181.7</v>
      </c>
      <c r="M83">
        <v>17773.650000000001</v>
      </c>
      <c r="AI83" s="1"/>
    </row>
    <row r="84" spans="2:35" x14ac:dyDescent="0.25">
      <c r="B84">
        <v>18000</v>
      </c>
      <c r="C84" s="1">
        <v>44812</v>
      </c>
      <c r="D84">
        <v>226581</v>
      </c>
      <c r="E84">
        <v>634</v>
      </c>
      <c r="F84">
        <v>2146025</v>
      </c>
      <c r="G84">
        <v>0.2</v>
      </c>
      <c r="H84">
        <v>17773.650000000001</v>
      </c>
      <c r="I84">
        <v>3704</v>
      </c>
      <c r="J84">
        <v>-640</v>
      </c>
      <c r="K84">
        <v>90928</v>
      </c>
      <c r="L84">
        <v>233</v>
      </c>
      <c r="M84">
        <v>17773.650000000001</v>
      </c>
      <c r="AI84" s="1"/>
    </row>
    <row r="85" spans="2:35" x14ac:dyDescent="0.25">
      <c r="B85">
        <v>18050</v>
      </c>
      <c r="C85" s="1">
        <v>44812</v>
      </c>
      <c r="D85">
        <v>41868</v>
      </c>
      <c r="E85">
        <v>-4129</v>
      </c>
      <c r="F85">
        <v>545056</v>
      </c>
      <c r="G85">
        <v>0.15</v>
      </c>
      <c r="H85">
        <v>17773.650000000001</v>
      </c>
      <c r="I85">
        <v>701</v>
      </c>
      <c r="J85">
        <v>546</v>
      </c>
      <c r="K85">
        <v>8045</v>
      </c>
      <c r="L85">
        <v>280</v>
      </c>
      <c r="M85">
        <v>17773.650000000001</v>
      </c>
      <c r="AI85" s="1"/>
    </row>
    <row r="86" spans="2:35" x14ac:dyDescent="0.25">
      <c r="B86">
        <v>18100</v>
      </c>
      <c r="C86" s="1">
        <v>44812</v>
      </c>
      <c r="D86">
        <v>130081</v>
      </c>
      <c r="E86">
        <v>36303</v>
      </c>
      <c r="F86">
        <v>802677</v>
      </c>
      <c r="G86">
        <v>0.1</v>
      </c>
      <c r="H86">
        <v>17773.650000000001</v>
      </c>
      <c r="I86">
        <v>779</v>
      </c>
      <c r="J86">
        <v>-112</v>
      </c>
      <c r="K86">
        <v>5232</v>
      </c>
      <c r="L86">
        <v>332.5</v>
      </c>
      <c r="M86">
        <v>17773.650000000001</v>
      </c>
      <c r="AI86" s="1"/>
    </row>
    <row r="87" spans="2:35" x14ac:dyDescent="0.25">
      <c r="B87">
        <v>18150</v>
      </c>
      <c r="C87" s="1">
        <v>44812</v>
      </c>
      <c r="D87">
        <v>22146</v>
      </c>
      <c r="E87">
        <v>-2200</v>
      </c>
      <c r="F87">
        <v>145707</v>
      </c>
      <c r="G87">
        <v>0.1</v>
      </c>
      <c r="H87">
        <v>17773.650000000001</v>
      </c>
      <c r="I87">
        <v>70</v>
      </c>
      <c r="J87">
        <v>35</v>
      </c>
      <c r="K87">
        <v>422</v>
      </c>
      <c r="L87">
        <v>380.65</v>
      </c>
      <c r="M87">
        <v>17773.650000000001</v>
      </c>
      <c r="AI87" s="1"/>
    </row>
    <row r="88" spans="2:35" x14ac:dyDescent="0.25">
      <c r="B88">
        <v>18200</v>
      </c>
      <c r="C88" s="1">
        <v>44812</v>
      </c>
      <c r="D88">
        <v>71740</v>
      </c>
      <c r="E88">
        <v>-17974</v>
      </c>
      <c r="F88">
        <v>345575</v>
      </c>
      <c r="G88">
        <v>0.05</v>
      </c>
      <c r="H88">
        <v>17773.650000000001</v>
      </c>
      <c r="I88">
        <v>492</v>
      </c>
      <c r="J88">
        <v>-341</v>
      </c>
      <c r="K88">
        <v>2522</v>
      </c>
      <c r="L88">
        <v>432.15</v>
      </c>
      <c r="M88">
        <v>17773.650000000001</v>
      </c>
      <c r="AI88" s="1"/>
    </row>
    <row r="89" spans="2:35" x14ac:dyDescent="0.25">
      <c r="B89">
        <v>18250</v>
      </c>
      <c r="C89" s="1">
        <v>44812</v>
      </c>
      <c r="D89">
        <v>12713</v>
      </c>
      <c r="E89">
        <v>-396</v>
      </c>
      <c r="F89">
        <v>64936</v>
      </c>
      <c r="G89">
        <v>0.1</v>
      </c>
      <c r="H89">
        <v>17773.650000000001</v>
      </c>
      <c r="I89">
        <v>71</v>
      </c>
      <c r="J89">
        <v>-9</v>
      </c>
      <c r="K89">
        <v>127</v>
      </c>
      <c r="L89">
        <v>475.75</v>
      </c>
      <c r="M89">
        <v>17773.650000000001</v>
      </c>
      <c r="AI89" s="1"/>
    </row>
    <row r="90" spans="2:35" x14ac:dyDescent="0.25">
      <c r="B90">
        <v>18300</v>
      </c>
      <c r="C90" s="1">
        <v>44812</v>
      </c>
      <c r="D90">
        <v>60078</v>
      </c>
      <c r="E90">
        <v>-6020</v>
      </c>
      <c r="F90">
        <v>166216</v>
      </c>
      <c r="G90">
        <v>0.05</v>
      </c>
      <c r="H90">
        <v>17773.650000000001</v>
      </c>
      <c r="I90">
        <v>138</v>
      </c>
      <c r="J90">
        <v>-24</v>
      </c>
      <c r="K90">
        <v>805</v>
      </c>
      <c r="L90">
        <v>529.70000000000005</v>
      </c>
      <c r="M90">
        <v>17773.650000000001</v>
      </c>
      <c r="AI90" s="1"/>
    </row>
    <row r="91" spans="2:35" x14ac:dyDescent="0.25">
      <c r="B91">
        <v>18350</v>
      </c>
      <c r="C91" s="1">
        <v>44812</v>
      </c>
      <c r="D91">
        <v>8244</v>
      </c>
      <c r="E91">
        <v>-1521</v>
      </c>
      <c r="F91">
        <v>37844</v>
      </c>
      <c r="G91">
        <v>0.05</v>
      </c>
      <c r="H91">
        <v>17773.650000000001</v>
      </c>
      <c r="I91">
        <v>64</v>
      </c>
      <c r="J91">
        <v>-4</v>
      </c>
      <c r="K91">
        <v>14</v>
      </c>
      <c r="L91">
        <v>584</v>
      </c>
      <c r="M91">
        <v>17773.650000000001</v>
      </c>
      <c r="AI91" s="1"/>
    </row>
    <row r="92" spans="2:35" x14ac:dyDescent="0.25">
      <c r="B92">
        <v>18400</v>
      </c>
      <c r="C92" s="1">
        <v>44812</v>
      </c>
      <c r="D92">
        <v>27628</v>
      </c>
      <c r="E92">
        <v>-9337</v>
      </c>
      <c r="F92">
        <v>84376</v>
      </c>
      <c r="G92">
        <v>0.05</v>
      </c>
      <c r="H92">
        <v>17773.650000000001</v>
      </c>
      <c r="I92">
        <v>63</v>
      </c>
      <c r="J92">
        <v>23</v>
      </c>
      <c r="K92">
        <v>94</v>
      </c>
      <c r="L92">
        <v>630.04999999999995</v>
      </c>
      <c r="M92">
        <v>17773.650000000001</v>
      </c>
      <c r="AI92" s="1"/>
    </row>
    <row r="93" spans="2:35" x14ac:dyDescent="0.25">
      <c r="B93">
        <v>18450</v>
      </c>
      <c r="C93" s="1">
        <v>44812</v>
      </c>
      <c r="D93">
        <v>4068</v>
      </c>
      <c r="E93">
        <v>-575</v>
      </c>
      <c r="F93">
        <v>31353</v>
      </c>
      <c r="G93">
        <v>0.05</v>
      </c>
      <c r="H93">
        <v>17773.650000000001</v>
      </c>
      <c r="I93">
        <v>6</v>
      </c>
      <c r="J93">
        <v>2</v>
      </c>
      <c r="K93">
        <v>10</v>
      </c>
      <c r="L93">
        <v>681.15</v>
      </c>
      <c r="M93">
        <v>17773.650000000001</v>
      </c>
      <c r="AI93" s="1"/>
    </row>
    <row r="94" spans="2:35" x14ac:dyDescent="0.25">
      <c r="B94">
        <v>18500</v>
      </c>
      <c r="C94" s="1">
        <v>44812</v>
      </c>
      <c r="D94">
        <v>44342</v>
      </c>
      <c r="E94">
        <v>-34698</v>
      </c>
      <c r="F94">
        <v>173607</v>
      </c>
      <c r="G94">
        <v>0.05</v>
      </c>
      <c r="H94">
        <v>17773.650000000001</v>
      </c>
      <c r="I94">
        <v>240</v>
      </c>
      <c r="J94">
        <v>-59</v>
      </c>
      <c r="K94">
        <v>631</v>
      </c>
      <c r="L94">
        <v>719.6</v>
      </c>
      <c r="M94">
        <v>17773.650000000001</v>
      </c>
      <c r="AI94" s="1"/>
    </row>
    <row r="95" spans="2:35" x14ac:dyDescent="0.25">
      <c r="B95">
        <v>18550</v>
      </c>
      <c r="C95" s="1">
        <v>44812</v>
      </c>
      <c r="D95">
        <v>5705</v>
      </c>
      <c r="E95">
        <v>-1152</v>
      </c>
      <c r="F95">
        <v>19561</v>
      </c>
      <c r="G95">
        <v>0.05</v>
      </c>
      <c r="H95">
        <v>17773.650000000001</v>
      </c>
      <c r="I95">
        <v>2</v>
      </c>
      <c r="J95">
        <v>0</v>
      </c>
      <c r="K95">
        <v>0</v>
      </c>
      <c r="L95">
        <v>0</v>
      </c>
      <c r="M95">
        <v>17773.650000000001</v>
      </c>
      <c r="AI95" s="1"/>
    </row>
    <row r="96" spans="2:35" x14ac:dyDescent="0.25">
      <c r="B96">
        <v>18600</v>
      </c>
      <c r="C96" s="1">
        <v>44812</v>
      </c>
      <c r="D96">
        <v>20290</v>
      </c>
      <c r="E96">
        <v>-19739</v>
      </c>
      <c r="F96">
        <v>66700</v>
      </c>
      <c r="G96">
        <v>0.05</v>
      </c>
      <c r="H96">
        <v>17773.650000000001</v>
      </c>
      <c r="I96">
        <v>16</v>
      </c>
      <c r="J96">
        <v>-1</v>
      </c>
      <c r="K96">
        <v>15</v>
      </c>
      <c r="L96">
        <v>878</v>
      </c>
      <c r="M96">
        <v>17773.650000000001</v>
      </c>
      <c r="AI96" s="1"/>
    </row>
    <row r="97" spans="2:35" x14ac:dyDescent="0.25">
      <c r="B97">
        <v>18650</v>
      </c>
      <c r="C97" s="1">
        <v>44812</v>
      </c>
      <c r="D97">
        <v>1814</v>
      </c>
      <c r="E97">
        <v>-557</v>
      </c>
      <c r="F97">
        <v>17393</v>
      </c>
      <c r="G97">
        <v>0.05</v>
      </c>
      <c r="H97">
        <v>17773.650000000001</v>
      </c>
      <c r="I97">
        <v>1</v>
      </c>
      <c r="J97">
        <v>0</v>
      </c>
      <c r="K97">
        <v>0</v>
      </c>
      <c r="L97">
        <v>0</v>
      </c>
      <c r="M97">
        <v>17773.650000000001</v>
      </c>
      <c r="AI97" s="1"/>
    </row>
    <row r="98" spans="2:35" x14ac:dyDescent="0.25">
      <c r="B98">
        <v>18700</v>
      </c>
      <c r="C98" s="1">
        <v>44812</v>
      </c>
      <c r="D98">
        <v>7451</v>
      </c>
      <c r="E98">
        <v>-6463</v>
      </c>
      <c r="F98">
        <v>45572</v>
      </c>
      <c r="G98">
        <v>0.05</v>
      </c>
      <c r="H98">
        <v>17773.650000000001</v>
      </c>
      <c r="I98">
        <v>18</v>
      </c>
      <c r="J98">
        <v>1</v>
      </c>
      <c r="K98">
        <v>4</v>
      </c>
      <c r="L98">
        <v>944.65</v>
      </c>
      <c r="M98">
        <v>17773.650000000001</v>
      </c>
      <c r="AI98" s="1"/>
    </row>
    <row r="99" spans="2:35" x14ac:dyDescent="0.25">
      <c r="B99">
        <v>18750</v>
      </c>
      <c r="C99" s="1">
        <v>44812</v>
      </c>
      <c r="D99">
        <v>2660</v>
      </c>
      <c r="E99">
        <v>1893</v>
      </c>
      <c r="F99">
        <v>18144</v>
      </c>
      <c r="G99">
        <v>0.05</v>
      </c>
      <c r="H99">
        <v>17773.650000000001</v>
      </c>
      <c r="I99">
        <v>0</v>
      </c>
      <c r="J99">
        <v>0</v>
      </c>
      <c r="K99">
        <v>0</v>
      </c>
      <c r="L99">
        <v>0</v>
      </c>
      <c r="M99">
        <v>17773.650000000001</v>
      </c>
      <c r="AI99" s="1"/>
    </row>
    <row r="100" spans="2:35" x14ac:dyDescent="0.25">
      <c r="B100">
        <v>18800</v>
      </c>
      <c r="C100" s="1">
        <v>44812</v>
      </c>
      <c r="D100">
        <v>9614</v>
      </c>
      <c r="E100">
        <v>-7607</v>
      </c>
      <c r="F100">
        <v>47458</v>
      </c>
      <c r="G100">
        <v>0.05</v>
      </c>
      <c r="H100">
        <v>17773.650000000001</v>
      </c>
      <c r="I100">
        <v>0</v>
      </c>
      <c r="J100">
        <v>0</v>
      </c>
      <c r="K100">
        <v>0</v>
      </c>
      <c r="L100">
        <v>0</v>
      </c>
      <c r="M100">
        <v>17773.650000000001</v>
      </c>
      <c r="AI100" s="1"/>
    </row>
    <row r="101" spans="2:35" x14ac:dyDescent="0.25">
      <c r="B101">
        <v>18850</v>
      </c>
      <c r="C101" s="1">
        <v>44812</v>
      </c>
      <c r="D101">
        <v>1523</v>
      </c>
      <c r="E101">
        <v>846</v>
      </c>
      <c r="F101">
        <v>13531</v>
      </c>
      <c r="G101">
        <v>0.1</v>
      </c>
      <c r="H101">
        <v>17773.650000000001</v>
      </c>
      <c r="I101">
        <v>2</v>
      </c>
      <c r="J101">
        <v>0</v>
      </c>
      <c r="K101">
        <v>0</v>
      </c>
      <c r="L101">
        <v>0</v>
      </c>
      <c r="M101">
        <v>17773.650000000001</v>
      </c>
      <c r="AI101" s="1"/>
    </row>
    <row r="102" spans="2:35" x14ac:dyDescent="0.25">
      <c r="B102">
        <v>18900</v>
      </c>
      <c r="C102" s="1">
        <v>44812</v>
      </c>
      <c r="D102">
        <v>3878</v>
      </c>
      <c r="E102">
        <v>-450</v>
      </c>
      <c r="F102">
        <v>23030</v>
      </c>
      <c r="G102">
        <v>0.05</v>
      </c>
      <c r="H102">
        <v>17773.650000000001</v>
      </c>
      <c r="I102">
        <v>3</v>
      </c>
      <c r="J102">
        <v>0</v>
      </c>
      <c r="K102">
        <v>0</v>
      </c>
      <c r="L102">
        <v>0</v>
      </c>
      <c r="M102">
        <v>17773.650000000001</v>
      </c>
      <c r="AI102" s="1"/>
    </row>
    <row r="103" spans="2:35" x14ac:dyDescent="0.25">
      <c r="B103">
        <v>18950</v>
      </c>
      <c r="C103" s="1">
        <v>44812</v>
      </c>
      <c r="D103">
        <v>1180</v>
      </c>
      <c r="E103">
        <v>375</v>
      </c>
      <c r="F103">
        <v>11908</v>
      </c>
      <c r="G103">
        <v>0.05</v>
      </c>
      <c r="H103">
        <v>17773.650000000001</v>
      </c>
      <c r="I103">
        <v>0</v>
      </c>
      <c r="J103">
        <v>0</v>
      </c>
      <c r="K103">
        <v>0</v>
      </c>
      <c r="L103">
        <v>0</v>
      </c>
      <c r="M103">
        <v>17773.650000000001</v>
      </c>
      <c r="AI103" s="1"/>
    </row>
    <row r="104" spans="2:35" x14ac:dyDescent="0.25">
      <c r="B104">
        <v>19000</v>
      </c>
      <c r="C104" s="1">
        <v>44812</v>
      </c>
      <c r="D104">
        <v>30604</v>
      </c>
      <c r="E104">
        <v>-27934</v>
      </c>
      <c r="F104">
        <v>116828</v>
      </c>
      <c r="G104">
        <v>0.05</v>
      </c>
      <c r="H104">
        <v>17773.650000000001</v>
      </c>
      <c r="I104">
        <v>68</v>
      </c>
      <c r="J104">
        <v>-2</v>
      </c>
      <c r="K104">
        <v>10</v>
      </c>
      <c r="L104">
        <v>1230</v>
      </c>
      <c r="M104">
        <v>17773.650000000001</v>
      </c>
      <c r="AI104" s="1"/>
    </row>
    <row r="105" spans="2:35" x14ac:dyDescent="0.25">
      <c r="B105">
        <v>19050</v>
      </c>
      <c r="C105" s="1">
        <v>44812</v>
      </c>
      <c r="D105">
        <v>1965</v>
      </c>
      <c r="E105">
        <v>-1562</v>
      </c>
      <c r="F105">
        <v>9638</v>
      </c>
      <c r="G105">
        <v>0.05</v>
      </c>
      <c r="H105">
        <v>17773.650000000001</v>
      </c>
      <c r="I105">
        <v>0</v>
      </c>
      <c r="J105">
        <v>0</v>
      </c>
      <c r="K105">
        <v>0</v>
      </c>
      <c r="L105">
        <v>0</v>
      </c>
      <c r="M105">
        <v>17773.650000000001</v>
      </c>
      <c r="AI105" s="1"/>
    </row>
    <row r="106" spans="2:35" x14ac:dyDescent="0.25">
      <c r="B106">
        <v>19100</v>
      </c>
      <c r="C106" s="1">
        <v>44812</v>
      </c>
      <c r="D106">
        <v>8733</v>
      </c>
      <c r="E106">
        <v>-336</v>
      </c>
      <c r="F106">
        <v>13181</v>
      </c>
      <c r="G106">
        <v>0.05</v>
      </c>
      <c r="H106">
        <v>17773.650000000001</v>
      </c>
      <c r="I106">
        <v>2</v>
      </c>
      <c r="J106">
        <v>0</v>
      </c>
      <c r="K106">
        <v>0</v>
      </c>
      <c r="L106">
        <v>0</v>
      </c>
      <c r="M106">
        <v>17773.650000000001</v>
      </c>
      <c r="AI106" s="1"/>
    </row>
    <row r="107" spans="2:35" x14ac:dyDescent="0.25">
      <c r="B107">
        <v>19150</v>
      </c>
      <c r="C107" s="1">
        <v>44812</v>
      </c>
      <c r="D107">
        <v>905</v>
      </c>
      <c r="E107">
        <v>373</v>
      </c>
      <c r="F107">
        <v>2367</v>
      </c>
      <c r="G107">
        <v>0.05</v>
      </c>
      <c r="H107">
        <v>17773.650000000001</v>
      </c>
      <c r="I107">
        <v>2</v>
      </c>
      <c r="J107">
        <v>0</v>
      </c>
      <c r="K107">
        <v>0</v>
      </c>
      <c r="L107">
        <v>0</v>
      </c>
      <c r="M107">
        <v>17773.650000000001</v>
      </c>
      <c r="AI107" s="1"/>
    </row>
    <row r="108" spans="2:35" x14ac:dyDescent="0.25">
      <c r="B108">
        <v>19200</v>
      </c>
      <c r="C108" s="1">
        <v>44812</v>
      </c>
      <c r="D108">
        <v>8088</v>
      </c>
      <c r="E108">
        <v>-3316</v>
      </c>
      <c r="F108">
        <v>15069</v>
      </c>
      <c r="G108">
        <v>0.1</v>
      </c>
      <c r="H108">
        <v>17773.650000000001</v>
      </c>
      <c r="I108">
        <v>2</v>
      </c>
      <c r="J108">
        <v>0</v>
      </c>
      <c r="K108">
        <v>0</v>
      </c>
      <c r="L108">
        <v>0</v>
      </c>
      <c r="M108">
        <v>17773.650000000001</v>
      </c>
      <c r="AI108" s="1"/>
    </row>
    <row r="109" spans="2:35" x14ac:dyDescent="0.25">
      <c r="B109">
        <v>19250</v>
      </c>
      <c r="C109" s="1">
        <v>44812</v>
      </c>
      <c r="D109">
        <v>793</v>
      </c>
      <c r="E109">
        <v>222</v>
      </c>
      <c r="F109">
        <v>1386</v>
      </c>
      <c r="G109">
        <v>0.05</v>
      </c>
      <c r="H109">
        <v>17773.650000000001</v>
      </c>
      <c r="I109">
        <v>0</v>
      </c>
      <c r="J109">
        <v>0</v>
      </c>
      <c r="K109">
        <v>0</v>
      </c>
      <c r="L109">
        <v>0</v>
      </c>
      <c r="M109">
        <v>17773.650000000001</v>
      </c>
      <c r="AI109" s="1"/>
    </row>
    <row r="110" spans="2:35" x14ac:dyDescent="0.25">
      <c r="B110">
        <v>19300</v>
      </c>
      <c r="C110" s="1">
        <v>44812</v>
      </c>
      <c r="D110">
        <v>16727</v>
      </c>
      <c r="E110">
        <v>-767</v>
      </c>
      <c r="F110">
        <v>18112</v>
      </c>
      <c r="G110">
        <v>0.05</v>
      </c>
      <c r="H110">
        <v>17773.650000000001</v>
      </c>
      <c r="I110">
        <v>52</v>
      </c>
      <c r="J110">
        <v>0</v>
      </c>
      <c r="K110">
        <v>0</v>
      </c>
      <c r="L110">
        <v>0</v>
      </c>
      <c r="M110">
        <v>17773.650000000001</v>
      </c>
      <c r="AI110" s="1"/>
    </row>
    <row r="111" spans="2:35" x14ac:dyDescent="0.25">
      <c r="B111">
        <v>19350</v>
      </c>
      <c r="C111" s="1">
        <v>44812</v>
      </c>
      <c r="D111">
        <v>603</v>
      </c>
      <c r="E111">
        <v>311</v>
      </c>
      <c r="F111">
        <v>1124</v>
      </c>
      <c r="G111">
        <v>0.05</v>
      </c>
      <c r="H111">
        <v>17773.650000000001</v>
      </c>
      <c r="I111">
        <v>0</v>
      </c>
      <c r="J111">
        <v>0</v>
      </c>
      <c r="K111">
        <v>0</v>
      </c>
      <c r="L111">
        <v>0</v>
      </c>
      <c r="M111">
        <v>17773.650000000001</v>
      </c>
      <c r="AI111" s="1"/>
    </row>
    <row r="112" spans="2:35" x14ac:dyDescent="0.25">
      <c r="B112">
        <v>19400</v>
      </c>
      <c r="C112" s="1">
        <v>44812</v>
      </c>
      <c r="D112">
        <v>20451</v>
      </c>
      <c r="E112">
        <v>-3305</v>
      </c>
      <c r="F112">
        <v>18822</v>
      </c>
      <c r="G112">
        <v>0.05</v>
      </c>
      <c r="H112">
        <v>17773.650000000001</v>
      </c>
      <c r="I112">
        <v>3</v>
      </c>
      <c r="J112">
        <v>0</v>
      </c>
      <c r="K112">
        <v>0</v>
      </c>
      <c r="L112">
        <v>0</v>
      </c>
      <c r="M112">
        <v>17773.650000000001</v>
      </c>
      <c r="AI112" s="1"/>
    </row>
    <row r="113" spans="2:35" x14ac:dyDescent="0.25">
      <c r="B113">
        <v>19450</v>
      </c>
      <c r="C113" s="1">
        <v>44812</v>
      </c>
      <c r="D113">
        <v>3538</v>
      </c>
      <c r="E113">
        <v>-66</v>
      </c>
      <c r="F113">
        <v>5317</v>
      </c>
      <c r="G113">
        <v>0.05</v>
      </c>
      <c r="H113">
        <v>17773.650000000001</v>
      </c>
      <c r="I113">
        <v>0</v>
      </c>
      <c r="J113">
        <v>0</v>
      </c>
      <c r="K113">
        <v>0</v>
      </c>
      <c r="L113">
        <v>0</v>
      </c>
      <c r="M113">
        <v>17773.650000000001</v>
      </c>
      <c r="AI113" s="1"/>
    </row>
    <row r="114" spans="2:35" x14ac:dyDescent="0.25">
      <c r="AI114" s="1"/>
    </row>
    <row r="115" spans="2:35" x14ac:dyDescent="0.25">
      <c r="AI115" s="1"/>
    </row>
    <row r="116" spans="2:35" x14ac:dyDescent="0.25">
      <c r="AI116" s="1"/>
    </row>
    <row r="117" spans="2:35" x14ac:dyDescent="0.25">
      <c r="AI117" s="1"/>
    </row>
    <row r="118" spans="2:35" x14ac:dyDescent="0.25">
      <c r="AI118" s="1"/>
    </row>
    <row r="119" spans="2:35" x14ac:dyDescent="0.25">
      <c r="AI119" s="1"/>
    </row>
    <row r="120" spans="2:35" x14ac:dyDescent="0.25">
      <c r="AI120" s="1"/>
    </row>
    <row r="121" spans="2:35" x14ac:dyDescent="0.25">
      <c r="AI121" s="1"/>
    </row>
    <row r="122" spans="2:35" x14ac:dyDescent="0.25">
      <c r="AI122" s="1"/>
    </row>
    <row r="123" spans="2:35" x14ac:dyDescent="0.25">
      <c r="AI123" s="1"/>
    </row>
    <row r="124" spans="2:35" x14ac:dyDescent="0.25">
      <c r="AI124" s="1"/>
    </row>
    <row r="125" spans="2:35" x14ac:dyDescent="0.25">
      <c r="AI125" s="1"/>
    </row>
    <row r="126" spans="2:35" x14ac:dyDescent="0.25">
      <c r="AI126" s="1"/>
    </row>
    <row r="127" spans="2:35" x14ac:dyDescent="0.25">
      <c r="AI127" s="1"/>
    </row>
    <row r="128" spans="2:35" x14ac:dyDescent="0.25">
      <c r="AI128" s="1"/>
    </row>
    <row r="129" spans="35:35" x14ac:dyDescent="0.25">
      <c r="AI129" s="1"/>
    </row>
    <row r="130" spans="35:35" x14ac:dyDescent="0.25">
      <c r="AI130" s="1"/>
    </row>
    <row r="131" spans="35:35" x14ac:dyDescent="0.25">
      <c r="AI131" s="1"/>
    </row>
    <row r="132" spans="35:35" x14ac:dyDescent="0.25">
      <c r="AI132" s="1"/>
    </row>
    <row r="133" spans="35:35" x14ac:dyDescent="0.25">
      <c r="AI133" s="1"/>
    </row>
    <row r="134" spans="35:35" x14ac:dyDescent="0.25">
      <c r="AI134" s="1"/>
    </row>
    <row r="135" spans="35:35" x14ac:dyDescent="0.25">
      <c r="AI135" s="1"/>
    </row>
    <row r="136" spans="35:35" x14ac:dyDescent="0.25">
      <c r="AI136" s="1"/>
    </row>
    <row r="137" spans="35:35" x14ac:dyDescent="0.25">
      <c r="AI137" s="1"/>
    </row>
    <row r="138" spans="35:35" x14ac:dyDescent="0.25">
      <c r="AI138" s="1"/>
    </row>
    <row r="139" spans="35:35" x14ac:dyDescent="0.25">
      <c r="AI139" s="1"/>
    </row>
    <row r="140" spans="35:35" x14ac:dyDescent="0.25">
      <c r="AI140" s="1"/>
    </row>
    <row r="141" spans="35:35" x14ac:dyDescent="0.25">
      <c r="AI141" s="1"/>
    </row>
    <row r="142" spans="35:35" x14ac:dyDescent="0.25">
      <c r="AI142" s="1"/>
    </row>
    <row r="143" spans="35:35" x14ac:dyDescent="0.25">
      <c r="AI143" s="1"/>
    </row>
    <row r="144" spans="35:35" x14ac:dyDescent="0.25">
      <c r="AI144" s="1"/>
    </row>
    <row r="145" spans="35:35" x14ac:dyDescent="0.25">
      <c r="AI145" s="1"/>
    </row>
    <row r="146" spans="35:35" x14ac:dyDescent="0.25">
      <c r="AI146" s="1"/>
    </row>
    <row r="147" spans="35:35" x14ac:dyDescent="0.25">
      <c r="AI147" s="1"/>
    </row>
    <row r="148" spans="35:35" x14ac:dyDescent="0.25">
      <c r="AI148" s="1"/>
    </row>
    <row r="149" spans="35:35" x14ac:dyDescent="0.25">
      <c r="AI149" s="1"/>
    </row>
    <row r="150" spans="35:35" x14ac:dyDescent="0.25">
      <c r="AI150" s="1"/>
    </row>
    <row r="151" spans="35:35" x14ac:dyDescent="0.25">
      <c r="AI151" s="1"/>
    </row>
    <row r="152" spans="35:35" x14ac:dyDescent="0.25">
      <c r="AI152" s="1"/>
    </row>
    <row r="153" spans="35:35" x14ac:dyDescent="0.25">
      <c r="AI153" s="1"/>
    </row>
    <row r="154" spans="35:35" x14ac:dyDescent="0.25">
      <c r="AI154" s="1"/>
    </row>
    <row r="155" spans="35:35" x14ac:dyDescent="0.25">
      <c r="AI155" s="1"/>
    </row>
    <row r="156" spans="35:35" x14ac:dyDescent="0.25">
      <c r="AI156" s="1"/>
    </row>
    <row r="157" spans="35:35" x14ac:dyDescent="0.25">
      <c r="AI157" s="1"/>
    </row>
    <row r="158" spans="35:35" x14ac:dyDescent="0.25">
      <c r="AI158" s="1"/>
    </row>
    <row r="159" spans="35:35" x14ac:dyDescent="0.25">
      <c r="AI159" s="1"/>
    </row>
    <row r="160" spans="35:35" x14ac:dyDescent="0.25">
      <c r="AI160" s="1"/>
    </row>
    <row r="161" spans="35:35" x14ac:dyDescent="0.25">
      <c r="AI161" s="1"/>
    </row>
    <row r="162" spans="35:35" x14ac:dyDescent="0.25">
      <c r="AI162" s="1"/>
    </row>
    <row r="163" spans="35:35" x14ac:dyDescent="0.25">
      <c r="AI163" s="1"/>
    </row>
    <row r="164" spans="35:35" x14ac:dyDescent="0.25">
      <c r="AI164" s="1"/>
    </row>
    <row r="165" spans="35:35" x14ac:dyDescent="0.25">
      <c r="AI165" s="1"/>
    </row>
    <row r="166" spans="35:35" x14ac:dyDescent="0.25">
      <c r="AI166" s="1"/>
    </row>
    <row r="167" spans="35:35" x14ac:dyDescent="0.25">
      <c r="AI167" s="1"/>
    </row>
    <row r="168" spans="35:35" x14ac:dyDescent="0.25">
      <c r="AI168" s="1"/>
    </row>
    <row r="169" spans="35:35" x14ac:dyDescent="0.25">
      <c r="AI169" s="1"/>
    </row>
    <row r="170" spans="35:35" x14ac:dyDescent="0.25">
      <c r="AI170" s="1"/>
    </row>
    <row r="171" spans="35:35" x14ac:dyDescent="0.25">
      <c r="AI171" s="1"/>
    </row>
    <row r="172" spans="35:35" x14ac:dyDescent="0.25">
      <c r="AI172" s="1"/>
    </row>
    <row r="173" spans="35:35" x14ac:dyDescent="0.25">
      <c r="AI173" s="1"/>
    </row>
    <row r="174" spans="35:35" x14ac:dyDescent="0.25">
      <c r="AI174" s="1"/>
    </row>
    <row r="175" spans="35:35" x14ac:dyDescent="0.25">
      <c r="AI175" s="1"/>
    </row>
    <row r="176" spans="35:35" x14ac:dyDescent="0.25">
      <c r="AI176" s="1"/>
    </row>
    <row r="177" spans="35:35" x14ac:dyDescent="0.25">
      <c r="AI177" s="1"/>
    </row>
    <row r="178" spans="35:35" x14ac:dyDescent="0.25">
      <c r="AI178" s="1"/>
    </row>
    <row r="179" spans="35:35" x14ac:dyDescent="0.25">
      <c r="AI179" s="1"/>
    </row>
    <row r="180" spans="35:35" x14ac:dyDescent="0.25">
      <c r="AI180" s="1"/>
    </row>
    <row r="181" spans="35:35" x14ac:dyDescent="0.25">
      <c r="AI181" s="1"/>
    </row>
    <row r="182" spans="35:35" x14ac:dyDescent="0.25">
      <c r="AI182" s="1"/>
    </row>
    <row r="183" spans="35:35" x14ac:dyDescent="0.25">
      <c r="AI183" s="1"/>
    </row>
    <row r="184" spans="35:35" x14ac:dyDescent="0.25">
      <c r="AI184" s="1"/>
    </row>
    <row r="185" spans="35:35" x14ac:dyDescent="0.25">
      <c r="AI185" s="1"/>
    </row>
    <row r="186" spans="35:35" x14ac:dyDescent="0.25">
      <c r="AI186" s="1"/>
    </row>
    <row r="187" spans="35:35" x14ac:dyDescent="0.25">
      <c r="AI187" s="1"/>
    </row>
    <row r="188" spans="35:35" x14ac:dyDescent="0.25">
      <c r="AI188" s="1"/>
    </row>
    <row r="189" spans="35:35" x14ac:dyDescent="0.25">
      <c r="AI189" s="1"/>
    </row>
    <row r="190" spans="35:35" x14ac:dyDescent="0.25">
      <c r="AI190" s="1"/>
    </row>
    <row r="191" spans="35:35" x14ac:dyDescent="0.25">
      <c r="AI191" s="1"/>
    </row>
    <row r="192" spans="35:35" x14ac:dyDescent="0.25">
      <c r="AI192" s="1"/>
    </row>
    <row r="193" spans="35:35" x14ac:dyDescent="0.25">
      <c r="AI193" s="1"/>
    </row>
    <row r="194" spans="35:35" x14ac:dyDescent="0.25">
      <c r="AI194" s="1"/>
    </row>
    <row r="195" spans="35:35" x14ac:dyDescent="0.25">
      <c r="AI195" s="1"/>
    </row>
    <row r="196" spans="35:35" x14ac:dyDescent="0.25">
      <c r="AI196" s="1"/>
    </row>
    <row r="197" spans="35:35" x14ac:dyDescent="0.25">
      <c r="AI197" s="1"/>
    </row>
    <row r="198" spans="35:35" x14ac:dyDescent="0.25">
      <c r="AI198" s="1"/>
    </row>
    <row r="199" spans="35:35" x14ac:dyDescent="0.25">
      <c r="AI199" s="1"/>
    </row>
    <row r="200" spans="35:35" x14ac:dyDescent="0.25">
      <c r="AI200" s="1"/>
    </row>
    <row r="201" spans="35:35" x14ac:dyDescent="0.25">
      <c r="AI201" s="1"/>
    </row>
    <row r="202" spans="35:35" x14ac:dyDescent="0.25">
      <c r="AI202" s="1"/>
    </row>
    <row r="203" spans="35:35" x14ac:dyDescent="0.25">
      <c r="AI203" s="1"/>
    </row>
    <row r="204" spans="35:35" x14ac:dyDescent="0.25">
      <c r="AI204" s="1"/>
    </row>
    <row r="205" spans="35:35" x14ac:dyDescent="0.25">
      <c r="AI205" s="1"/>
    </row>
    <row r="206" spans="35:35" x14ac:dyDescent="0.25">
      <c r="AI206" s="1"/>
    </row>
    <row r="207" spans="35:35" x14ac:dyDescent="0.25">
      <c r="AI207" s="1"/>
    </row>
    <row r="208" spans="35:35" x14ac:dyDescent="0.25">
      <c r="AI208" s="1"/>
    </row>
    <row r="209" spans="35:35" x14ac:dyDescent="0.25">
      <c r="AI209" s="1"/>
    </row>
    <row r="210" spans="35:35" x14ac:dyDescent="0.25">
      <c r="AI210" s="1"/>
    </row>
    <row r="211" spans="35:35" x14ac:dyDescent="0.25">
      <c r="AI211" s="1"/>
    </row>
    <row r="212" spans="35:35" x14ac:dyDescent="0.25">
      <c r="AI212" s="1"/>
    </row>
    <row r="213" spans="35:35" x14ac:dyDescent="0.25">
      <c r="AI213" s="1"/>
    </row>
    <row r="214" spans="35:35" x14ac:dyDescent="0.25">
      <c r="AI214" s="1"/>
    </row>
    <row r="215" spans="35:35" x14ac:dyDescent="0.25">
      <c r="AI215" s="1"/>
    </row>
    <row r="216" spans="35:35" x14ac:dyDescent="0.25">
      <c r="AI216" s="1"/>
    </row>
    <row r="217" spans="35:35" x14ac:dyDescent="0.25">
      <c r="AI217" s="1"/>
    </row>
    <row r="218" spans="35:35" x14ac:dyDescent="0.25">
      <c r="AI218" s="1"/>
    </row>
    <row r="219" spans="35:35" x14ac:dyDescent="0.25">
      <c r="AI219" s="1"/>
    </row>
    <row r="220" spans="35:35" x14ac:dyDescent="0.25">
      <c r="AI220" s="1"/>
    </row>
    <row r="221" spans="35:35" x14ac:dyDescent="0.25">
      <c r="AI221" s="1"/>
    </row>
    <row r="222" spans="35:35" x14ac:dyDescent="0.25">
      <c r="AI222" s="1"/>
    </row>
    <row r="223" spans="35:35" x14ac:dyDescent="0.25">
      <c r="AI223" s="1"/>
    </row>
    <row r="224" spans="35:35" x14ac:dyDescent="0.25">
      <c r="AI224" s="1"/>
    </row>
    <row r="225" spans="35:35" x14ac:dyDescent="0.25">
      <c r="AI225" s="1"/>
    </row>
    <row r="226" spans="35:35" x14ac:dyDescent="0.25">
      <c r="AI226" s="1"/>
    </row>
    <row r="227" spans="35:35" x14ac:dyDescent="0.25">
      <c r="AI227" s="1"/>
    </row>
    <row r="228" spans="35:35" x14ac:dyDescent="0.25">
      <c r="AI228" s="1"/>
    </row>
    <row r="229" spans="35:35" x14ac:dyDescent="0.25">
      <c r="AI229" s="1"/>
    </row>
    <row r="230" spans="35:35" x14ac:dyDescent="0.25">
      <c r="AI230" s="1"/>
    </row>
    <row r="231" spans="35:35" x14ac:dyDescent="0.25">
      <c r="AI231" s="1"/>
    </row>
    <row r="232" spans="35:35" x14ac:dyDescent="0.25">
      <c r="AI232" s="1"/>
    </row>
    <row r="233" spans="35:35" x14ac:dyDescent="0.25">
      <c r="AI233" s="1"/>
    </row>
    <row r="234" spans="35:35" x14ac:dyDescent="0.25">
      <c r="AI234" s="1"/>
    </row>
    <row r="235" spans="35:35" x14ac:dyDescent="0.25">
      <c r="AI235" s="1"/>
    </row>
    <row r="236" spans="35:35" x14ac:dyDescent="0.25">
      <c r="AI236" s="1"/>
    </row>
    <row r="237" spans="35:35" x14ac:dyDescent="0.25">
      <c r="AI237" s="1"/>
    </row>
    <row r="238" spans="35:35" x14ac:dyDescent="0.25">
      <c r="AI238" s="1"/>
    </row>
    <row r="239" spans="35:35" x14ac:dyDescent="0.25">
      <c r="AI239" s="1"/>
    </row>
    <row r="240" spans="35:35" x14ac:dyDescent="0.25">
      <c r="AI240" s="1"/>
    </row>
    <row r="241" spans="35:35" x14ac:dyDescent="0.25">
      <c r="AI241" s="1"/>
    </row>
    <row r="242" spans="35:35" x14ac:dyDescent="0.25">
      <c r="AI242" s="1"/>
    </row>
    <row r="243" spans="35:35" x14ac:dyDescent="0.25">
      <c r="AI243" s="1"/>
    </row>
    <row r="244" spans="35:35" x14ac:dyDescent="0.25">
      <c r="AI244" s="1"/>
    </row>
    <row r="245" spans="35:35" x14ac:dyDescent="0.25">
      <c r="AI245" s="1"/>
    </row>
    <row r="246" spans="35:35" x14ac:dyDescent="0.25">
      <c r="AI246" s="1"/>
    </row>
    <row r="247" spans="35:35" x14ac:dyDescent="0.25">
      <c r="AI247" s="1"/>
    </row>
    <row r="248" spans="35:35" x14ac:dyDescent="0.25">
      <c r="AI248" s="1"/>
    </row>
    <row r="249" spans="35:35" x14ac:dyDescent="0.25">
      <c r="AI249" s="1"/>
    </row>
    <row r="250" spans="35:35" x14ac:dyDescent="0.25">
      <c r="AI250" s="1"/>
    </row>
    <row r="251" spans="35:35" x14ac:dyDescent="0.25">
      <c r="AI251" s="1"/>
    </row>
    <row r="252" spans="35:35" x14ac:dyDescent="0.25">
      <c r="AI252" s="1"/>
    </row>
    <row r="253" spans="35:35" x14ac:dyDescent="0.25">
      <c r="AI253" s="1"/>
    </row>
    <row r="254" spans="35:35" x14ac:dyDescent="0.25">
      <c r="AI254" s="1"/>
    </row>
    <row r="255" spans="35:35" x14ac:dyDescent="0.25">
      <c r="AI255" s="1"/>
    </row>
    <row r="256" spans="35:35" x14ac:dyDescent="0.25">
      <c r="AI256" s="1"/>
    </row>
    <row r="257" spans="35:35" x14ac:dyDescent="0.25">
      <c r="AI257" s="1"/>
    </row>
    <row r="258" spans="35:35" x14ac:dyDescent="0.25">
      <c r="AI258" s="1"/>
    </row>
    <row r="259" spans="35:35" x14ac:dyDescent="0.25">
      <c r="AI259" s="1"/>
    </row>
    <row r="260" spans="35:35" x14ac:dyDescent="0.25">
      <c r="AI260" s="1"/>
    </row>
    <row r="261" spans="35:35" x14ac:dyDescent="0.25">
      <c r="AI261" s="1"/>
    </row>
    <row r="262" spans="35:35" x14ac:dyDescent="0.25">
      <c r="AI262" s="1"/>
    </row>
    <row r="263" spans="35:35" x14ac:dyDescent="0.25">
      <c r="AI263" s="1"/>
    </row>
    <row r="264" spans="35:35" x14ac:dyDescent="0.25">
      <c r="AI264" s="1"/>
    </row>
    <row r="265" spans="35:35" x14ac:dyDescent="0.25">
      <c r="AI265" s="1"/>
    </row>
    <row r="266" spans="35:35" x14ac:dyDescent="0.25">
      <c r="AI266" s="1"/>
    </row>
    <row r="267" spans="35:35" x14ac:dyDescent="0.25">
      <c r="AI267" s="1"/>
    </row>
    <row r="268" spans="35:35" x14ac:dyDescent="0.25">
      <c r="AI268" s="1"/>
    </row>
    <row r="269" spans="35:35" x14ac:dyDescent="0.25">
      <c r="AI269" s="1"/>
    </row>
    <row r="270" spans="35:35" x14ac:dyDescent="0.25">
      <c r="AI270" s="1"/>
    </row>
    <row r="271" spans="35:35" x14ac:dyDescent="0.25">
      <c r="AI271" s="1"/>
    </row>
    <row r="272" spans="35:35" x14ac:dyDescent="0.25">
      <c r="AI272" s="1"/>
    </row>
    <row r="273" spans="35:35" x14ac:dyDescent="0.25">
      <c r="AI273" s="1"/>
    </row>
    <row r="274" spans="35:35" x14ac:dyDescent="0.25">
      <c r="AI274" s="1"/>
    </row>
    <row r="275" spans="35:35" x14ac:dyDescent="0.25">
      <c r="AI275" s="1"/>
    </row>
    <row r="276" spans="35:35" x14ac:dyDescent="0.25">
      <c r="AI276" s="1"/>
    </row>
    <row r="277" spans="35:35" x14ac:dyDescent="0.25">
      <c r="AI277" s="1"/>
    </row>
    <row r="278" spans="35:35" x14ac:dyDescent="0.25">
      <c r="AI278" s="1"/>
    </row>
    <row r="279" spans="35:35" x14ac:dyDescent="0.25">
      <c r="AI279" s="1"/>
    </row>
    <row r="280" spans="35:35" x14ac:dyDescent="0.25">
      <c r="AI280" s="1"/>
    </row>
    <row r="281" spans="35:35" x14ac:dyDescent="0.25">
      <c r="AI281" s="1"/>
    </row>
    <row r="282" spans="35:35" x14ac:dyDescent="0.25">
      <c r="AI282" s="1"/>
    </row>
    <row r="283" spans="35:35" x14ac:dyDescent="0.25">
      <c r="AI283" s="1"/>
    </row>
    <row r="284" spans="35:35" x14ac:dyDescent="0.25">
      <c r="AI284" s="1"/>
    </row>
    <row r="285" spans="35:35" x14ac:dyDescent="0.25">
      <c r="AI285" s="1"/>
    </row>
    <row r="286" spans="35:35" x14ac:dyDescent="0.25">
      <c r="AI286" s="1"/>
    </row>
    <row r="287" spans="35:35" x14ac:dyDescent="0.25">
      <c r="AI287" s="1"/>
    </row>
    <row r="288" spans="35:35" x14ac:dyDescent="0.25">
      <c r="AI288" s="1"/>
    </row>
    <row r="289" spans="35:35" x14ac:dyDescent="0.25">
      <c r="AI289" s="1"/>
    </row>
    <row r="290" spans="35:35" x14ac:dyDescent="0.25">
      <c r="AI290" s="1"/>
    </row>
    <row r="291" spans="35:35" x14ac:dyDescent="0.25">
      <c r="AI291" s="1"/>
    </row>
    <row r="292" spans="35:35" x14ac:dyDescent="0.25">
      <c r="AI292" s="1"/>
    </row>
    <row r="293" spans="35:35" x14ac:dyDescent="0.25">
      <c r="AI293" s="1"/>
    </row>
    <row r="294" spans="35:35" x14ac:dyDescent="0.25">
      <c r="AI294" s="1"/>
    </row>
    <row r="295" spans="35:35" x14ac:dyDescent="0.25">
      <c r="AI295" s="1"/>
    </row>
    <row r="296" spans="35:35" x14ac:dyDescent="0.25">
      <c r="AI296" s="1"/>
    </row>
    <row r="297" spans="35:35" x14ac:dyDescent="0.25">
      <c r="AI297" s="1"/>
    </row>
    <row r="298" spans="35:35" x14ac:dyDescent="0.25">
      <c r="AI298" s="1"/>
    </row>
    <row r="299" spans="35:35" x14ac:dyDescent="0.25">
      <c r="AI299" s="1"/>
    </row>
    <row r="300" spans="35:35" x14ac:dyDescent="0.25">
      <c r="AI300" s="1"/>
    </row>
    <row r="301" spans="35:35" x14ac:dyDescent="0.25">
      <c r="AI301" s="1"/>
    </row>
    <row r="302" spans="35:35" x14ac:dyDescent="0.25">
      <c r="AI302" s="1"/>
    </row>
    <row r="303" spans="35:35" x14ac:dyDescent="0.25">
      <c r="AI303" s="1"/>
    </row>
    <row r="304" spans="35:35" x14ac:dyDescent="0.25">
      <c r="AI304" s="1"/>
    </row>
    <row r="305" spans="35:35" x14ac:dyDescent="0.25">
      <c r="AI305" s="1"/>
    </row>
    <row r="306" spans="35:35" x14ac:dyDescent="0.25">
      <c r="AI306" s="1"/>
    </row>
    <row r="307" spans="35:35" x14ac:dyDescent="0.25">
      <c r="AI307" s="1"/>
    </row>
    <row r="308" spans="35:35" x14ac:dyDescent="0.25">
      <c r="AI308" s="1"/>
    </row>
    <row r="309" spans="35:35" x14ac:dyDescent="0.25">
      <c r="AI309" s="1"/>
    </row>
    <row r="310" spans="35:35" x14ac:dyDescent="0.25">
      <c r="AI310" s="1"/>
    </row>
    <row r="311" spans="35:35" x14ac:dyDescent="0.25">
      <c r="AI311" s="1"/>
    </row>
    <row r="312" spans="35:35" x14ac:dyDescent="0.25">
      <c r="AI312" s="1"/>
    </row>
    <row r="313" spans="35:35" x14ac:dyDescent="0.25">
      <c r="AI313" s="1"/>
    </row>
    <row r="314" spans="35:35" x14ac:dyDescent="0.25">
      <c r="AI314" s="1"/>
    </row>
    <row r="315" spans="35:35" x14ac:dyDescent="0.25">
      <c r="AI315" s="1"/>
    </row>
    <row r="316" spans="35:35" x14ac:dyDescent="0.25">
      <c r="AI316" s="1"/>
    </row>
    <row r="317" spans="35:35" x14ac:dyDescent="0.25">
      <c r="AI317" s="1"/>
    </row>
    <row r="318" spans="35:35" x14ac:dyDescent="0.25">
      <c r="AI318" s="1"/>
    </row>
    <row r="319" spans="35:35" x14ac:dyDescent="0.25">
      <c r="AI319" s="1"/>
    </row>
    <row r="320" spans="35:35" x14ac:dyDescent="0.25">
      <c r="AI320" s="1"/>
    </row>
    <row r="321" spans="35:35" x14ac:dyDescent="0.25">
      <c r="AI321" s="1"/>
    </row>
    <row r="322" spans="35:35" x14ac:dyDescent="0.25">
      <c r="AI322" s="1"/>
    </row>
    <row r="323" spans="35:35" x14ac:dyDescent="0.25">
      <c r="AI323" s="1"/>
    </row>
    <row r="324" spans="35:35" x14ac:dyDescent="0.25">
      <c r="AI324" s="1"/>
    </row>
    <row r="325" spans="35:35" x14ac:dyDescent="0.25">
      <c r="AI325" s="1"/>
    </row>
    <row r="326" spans="35:35" x14ac:dyDescent="0.25">
      <c r="AI326" s="1"/>
    </row>
    <row r="327" spans="35:35" x14ac:dyDescent="0.25">
      <c r="AI327" s="1"/>
    </row>
    <row r="328" spans="35:35" x14ac:dyDescent="0.25">
      <c r="AI328" s="1"/>
    </row>
    <row r="329" spans="35:35" x14ac:dyDescent="0.25">
      <c r="AI329" s="1"/>
    </row>
    <row r="330" spans="35:35" x14ac:dyDescent="0.25">
      <c r="AI330" s="1"/>
    </row>
    <row r="331" spans="35:35" x14ac:dyDescent="0.25">
      <c r="AI331" s="1"/>
    </row>
    <row r="332" spans="35:35" x14ac:dyDescent="0.25">
      <c r="AI332" s="1"/>
    </row>
    <row r="333" spans="35:35" x14ac:dyDescent="0.25">
      <c r="AI333" s="1"/>
    </row>
    <row r="334" spans="35:35" x14ac:dyDescent="0.25">
      <c r="AI334" s="1"/>
    </row>
    <row r="335" spans="35:35" x14ac:dyDescent="0.25">
      <c r="AI335" s="1"/>
    </row>
    <row r="336" spans="35:35" x14ac:dyDescent="0.25">
      <c r="AI336" s="1"/>
    </row>
    <row r="337" spans="35:35" x14ac:dyDescent="0.25">
      <c r="AI337" s="1"/>
    </row>
    <row r="338" spans="35:35" x14ac:dyDescent="0.25">
      <c r="AI338" s="1"/>
    </row>
    <row r="339" spans="35:35" x14ac:dyDescent="0.25">
      <c r="AI339" s="1"/>
    </row>
    <row r="340" spans="35:35" x14ac:dyDescent="0.25">
      <c r="AI340" s="1"/>
    </row>
    <row r="341" spans="35:35" x14ac:dyDescent="0.25">
      <c r="AI341" s="1"/>
    </row>
    <row r="342" spans="35:35" x14ac:dyDescent="0.25">
      <c r="AI342" s="1"/>
    </row>
    <row r="343" spans="35:35" x14ac:dyDescent="0.25">
      <c r="AI343" s="1"/>
    </row>
    <row r="344" spans="35:35" x14ac:dyDescent="0.25">
      <c r="AI344" s="1"/>
    </row>
    <row r="345" spans="35:35" x14ac:dyDescent="0.25">
      <c r="AI345" s="1"/>
    </row>
    <row r="346" spans="35:35" x14ac:dyDescent="0.25">
      <c r="AI346" s="1"/>
    </row>
    <row r="347" spans="35:35" x14ac:dyDescent="0.25">
      <c r="AI347" s="1"/>
    </row>
    <row r="348" spans="35:35" x14ac:dyDescent="0.25">
      <c r="AI348" s="1"/>
    </row>
    <row r="349" spans="35:35" x14ac:dyDescent="0.25">
      <c r="AI349" s="1"/>
    </row>
    <row r="350" spans="35:35" x14ac:dyDescent="0.25">
      <c r="AI350" s="1"/>
    </row>
    <row r="351" spans="35:35" x14ac:dyDescent="0.25">
      <c r="AI351" s="1"/>
    </row>
    <row r="352" spans="35:35" x14ac:dyDescent="0.25">
      <c r="AI352" s="1"/>
    </row>
    <row r="353" spans="35:35" x14ac:dyDescent="0.25">
      <c r="AI353" s="1"/>
    </row>
    <row r="354" spans="35:35" x14ac:dyDescent="0.25">
      <c r="AI354" s="1"/>
    </row>
    <row r="355" spans="35:35" x14ac:dyDescent="0.25">
      <c r="AI355" s="1"/>
    </row>
    <row r="356" spans="35:35" x14ac:dyDescent="0.25">
      <c r="AI356" s="1"/>
    </row>
    <row r="357" spans="35:35" x14ac:dyDescent="0.25">
      <c r="AI357" s="1"/>
    </row>
    <row r="358" spans="35:35" x14ac:dyDescent="0.25">
      <c r="AI358" s="1"/>
    </row>
    <row r="359" spans="35:35" x14ac:dyDescent="0.25">
      <c r="AI359" s="1"/>
    </row>
    <row r="360" spans="35:35" x14ac:dyDescent="0.25">
      <c r="AI360" s="1"/>
    </row>
    <row r="361" spans="35:35" x14ac:dyDescent="0.25">
      <c r="AI361" s="1"/>
    </row>
    <row r="362" spans="35:35" x14ac:dyDescent="0.25">
      <c r="AI362" s="1"/>
    </row>
    <row r="363" spans="35:35" x14ac:dyDescent="0.25">
      <c r="AI363" s="1"/>
    </row>
    <row r="364" spans="35:35" x14ac:dyDescent="0.25">
      <c r="AI364" s="1"/>
    </row>
    <row r="365" spans="35:35" x14ac:dyDescent="0.25">
      <c r="AI365" s="1"/>
    </row>
    <row r="366" spans="35:35" x14ac:dyDescent="0.25">
      <c r="AI366" s="1"/>
    </row>
    <row r="367" spans="35:35" x14ac:dyDescent="0.25">
      <c r="AI367" s="1"/>
    </row>
    <row r="368" spans="35:35" x14ac:dyDescent="0.25">
      <c r="AI368" s="1"/>
    </row>
    <row r="369" spans="35:35" x14ac:dyDescent="0.25">
      <c r="AI369" s="1"/>
    </row>
    <row r="370" spans="35:35" x14ac:dyDescent="0.25">
      <c r="AI370" s="1"/>
    </row>
    <row r="371" spans="35:35" x14ac:dyDescent="0.25">
      <c r="AI371" s="1"/>
    </row>
    <row r="372" spans="35:35" x14ac:dyDescent="0.25">
      <c r="AI372" s="1"/>
    </row>
    <row r="373" spans="35:35" x14ac:dyDescent="0.25">
      <c r="AI373" s="1"/>
    </row>
    <row r="374" spans="35:35" x14ac:dyDescent="0.25">
      <c r="AI374" s="1"/>
    </row>
    <row r="375" spans="35:35" x14ac:dyDescent="0.25">
      <c r="AI375" s="1"/>
    </row>
    <row r="376" spans="35:35" x14ac:dyDescent="0.25">
      <c r="AI376" s="1"/>
    </row>
    <row r="377" spans="35:35" x14ac:dyDescent="0.25">
      <c r="AI377" s="1"/>
    </row>
    <row r="378" spans="35:35" x14ac:dyDescent="0.25">
      <c r="AI378" s="1"/>
    </row>
    <row r="379" spans="35:35" x14ac:dyDescent="0.25">
      <c r="AI379" s="1"/>
    </row>
    <row r="380" spans="35:35" x14ac:dyDescent="0.25">
      <c r="AI380" s="1"/>
    </row>
    <row r="381" spans="35:35" x14ac:dyDescent="0.25">
      <c r="AI381" s="1"/>
    </row>
    <row r="382" spans="35:35" x14ac:dyDescent="0.25">
      <c r="AI382" s="1"/>
    </row>
    <row r="383" spans="35:35" x14ac:dyDescent="0.25">
      <c r="AI383" s="1"/>
    </row>
    <row r="384" spans="35:35" x14ac:dyDescent="0.25">
      <c r="AI384" s="1"/>
    </row>
    <row r="385" spans="35:35" x14ac:dyDescent="0.25">
      <c r="AI385" s="1"/>
    </row>
    <row r="386" spans="35:35" x14ac:dyDescent="0.25">
      <c r="AI386" s="1"/>
    </row>
    <row r="387" spans="35:35" x14ac:dyDescent="0.25">
      <c r="AI387" s="1"/>
    </row>
    <row r="388" spans="35:35" x14ac:dyDescent="0.25">
      <c r="AI388" s="1"/>
    </row>
    <row r="389" spans="35:35" x14ac:dyDescent="0.25">
      <c r="AI389" s="1"/>
    </row>
    <row r="390" spans="35:35" x14ac:dyDescent="0.25">
      <c r="AI390" s="1"/>
    </row>
    <row r="391" spans="35:35" x14ac:dyDescent="0.25">
      <c r="AI391" s="1"/>
    </row>
    <row r="392" spans="35:35" x14ac:dyDescent="0.25">
      <c r="AI392" s="1"/>
    </row>
    <row r="393" spans="35:35" x14ac:dyDescent="0.25">
      <c r="AI393" s="1"/>
    </row>
    <row r="394" spans="35:35" x14ac:dyDescent="0.25">
      <c r="AI394" s="1"/>
    </row>
    <row r="395" spans="35:35" x14ac:dyDescent="0.25">
      <c r="AI395" s="1"/>
    </row>
    <row r="396" spans="35:35" x14ac:dyDescent="0.25">
      <c r="AI396" s="1"/>
    </row>
    <row r="397" spans="35:35" x14ac:dyDescent="0.25">
      <c r="AI397" s="1"/>
    </row>
    <row r="398" spans="35:35" x14ac:dyDescent="0.25">
      <c r="AI398" s="1"/>
    </row>
    <row r="399" spans="35:35" x14ac:dyDescent="0.25">
      <c r="AI399" s="1"/>
    </row>
    <row r="400" spans="35:35" x14ac:dyDescent="0.25">
      <c r="AI400" s="1"/>
    </row>
    <row r="401" spans="35:35" x14ac:dyDescent="0.25">
      <c r="AI401" s="1"/>
    </row>
    <row r="402" spans="35:35" x14ac:dyDescent="0.25">
      <c r="AI402" s="1"/>
    </row>
    <row r="403" spans="35:35" x14ac:dyDescent="0.25">
      <c r="AI403" s="1"/>
    </row>
    <row r="404" spans="35:35" x14ac:dyDescent="0.25">
      <c r="AI404" s="1"/>
    </row>
    <row r="405" spans="35:35" x14ac:dyDescent="0.25">
      <c r="AI405" s="1"/>
    </row>
    <row r="406" spans="35:35" x14ac:dyDescent="0.25">
      <c r="AI406" s="1"/>
    </row>
    <row r="407" spans="35:35" x14ac:dyDescent="0.25">
      <c r="AI407" s="1"/>
    </row>
    <row r="408" spans="35:35" x14ac:dyDescent="0.25">
      <c r="AI408" s="1"/>
    </row>
    <row r="409" spans="35:35" x14ac:dyDescent="0.25">
      <c r="AI409" s="1"/>
    </row>
    <row r="410" spans="35:35" x14ac:dyDescent="0.25">
      <c r="AI410" s="1"/>
    </row>
    <row r="411" spans="35:35" x14ac:dyDescent="0.25">
      <c r="AI411" s="1"/>
    </row>
    <row r="412" spans="35:35" x14ac:dyDescent="0.25">
      <c r="AI412" s="1"/>
    </row>
    <row r="413" spans="35:35" x14ac:dyDescent="0.25">
      <c r="AI413" s="1"/>
    </row>
    <row r="414" spans="35:35" x14ac:dyDescent="0.25">
      <c r="AI414" s="1"/>
    </row>
    <row r="415" spans="35:35" x14ac:dyDescent="0.25">
      <c r="AI415" s="1"/>
    </row>
    <row r="416" spans="35:35" x14ac:dyDescent="0.25">
      <c r="AI416" s="1"/>
    </row>
    <row r="417" spans="35:35" x14ac:dyDescent="0.25">
      <c r="AI417" s="1"/>
    </row>
    <row r="418" spans="35:35" x14ac:dyDescent="0.25">
      <c r="AI418" s="1"/>
    </row>
    <row r="419" spans="35:35" x14ac:dyDescent="0.25">
      <c r="AI419" s="1"/>
    </row>
    <row r="420" spans="35:35" x14ac:dyDescent="0.25">
      <c r="AI420" s="1"/>
    </row>
    <row r="421" spans="35:35" x14ac:dyDescent="0.25">
      <c r="AI421" s="1"/>
    </row>
    <row r="422" spans="35:35" x14ac:dyDescent="0.25">
      <c r="AI422" s="1"/>
    </row>
    <row r="423" spans="35:35" x14ac:dyDescent="0.25">
      <c r="AI423" s="1"/>
    </row>
    <row r="424" spans="35:35" x14ac:dyDescent="0.25">
      <c r="AI424" s="1"/>
    </row>
    <row r="425" spans="35:35" x14ac:dyDescent="0.25">
      <c r="AI425" s="1"/>
    </row>
    <row r="426" spans="35:35" x14ac:dyDescent="0.25">
      <c r="AI426" s="1"/>
    </row>
    <row r="427" spans="35:35" x14ac:dyDescent="0.25">
      <c r="AI427" s="1"/>
    </row>
    <row r="428" spans="35:35" x14ac:dyDescent="0.25">
      <c r="AI428" s="1"/>
    </row>
    <row r="429" spans="35:35" x14ac:dyDescent="0.25">
      <c r="AI429" s="1"/>
    </row>
    <row r="430" spans="35:35" x14ac:dyDescent="0.25">
      <c r="AI430" s="1"/>
    </row>
    <row r="431" spans="35:35" x14ac:dyDescent="0.25">
      <c r="AI431" s="1"/>
    </row>
    <row r="432" spans="35:35" x14ac:dyDescent="0.25">
      <c r="AI432" s="1"/>
    </row>
    <row r="433" spans="35:35" x14ac:dyDescent="0.25">
      <c r="AI433" s="1"/>
    </row>
    <row r="434" spans="35:35" x14ac:dyDescent="0.25">
      <c r="AI434" s="1"/>
    </row>
    <row r="435" spans="35:35" x14ac:dyDescent="0.25">
      <c r="AI435" s="1"/>
    </row>
    <row r="436" spans="35:35" x14ac:dyDescent="0.25">
      <c r="AI436" s="1"/>
    </row>
    <row r="437" spans="35:35" x14ac:dyDescent="0.25">
      <c r="AI437" s="1"/>
    </row>
    <row r="438" spans="35:35" x14ac:dyDescent="0.25">
      <c r="AI438" s="1"/>
    </row>
    <row r="439" spans="35:35" x14ac:dyDescent="0.25">
      <c r="AI439" s="1"/>
    </row>
    <row r="440" spans="35:35" x14ac:dyDescent="0.25">
      <c r="AI440" s="1"/>
    </row>
    <row r="441" spans="35:35" x14ac:dyDescent="0.25">
      <c r="AI441" s="1"/>
    </row>
    <row r="442" spans="35:35" x14ac:dyDescent="0.25">
      <c r="AI442" s="1"/>
    </row>
    <row r="443" spans="35:35" x14ac:dyDescent="0.25">
      <c r="AI443" s="1"/>
    </row>
    <row r="444" spans="35:35" x14ac:dyDescent="0.25">
      <c r="AI444" s="1"/>
    </row>
    <row r="445" spans="35:35" x14ac:dyDescent="0.25">
      <c r="AI445" s="1"/>
    </row>
    <row r="446" spans="35:35" x14ac:dyDescent="0.25">
      <c r="AI446" s="1"/>
    </row>
    <row r="447" spans="35:35" x14ac:dyDescent="0.25">
      <c r="AI447" s="1"/>
    </row>
    <row r="448" spans="35:35" x14ac:dyDescent="0.25">
      <c r="AI448" s="1"/>
    </row>
    <row r="449" spans="35:35" x14ac:dyDescent="0.25">
      <c r="AI449" s="1"/>
    </row>
    <row r="450" spans="35:35" x14ac:dyDescent="0.25">
      <c r="AI450" s="1"/>
    </row>
    <row r="451" spans="35:35" x14ac:dyDescent="0.25">
      <c r="AI451" s="1"/>
    </row>
    <row r="452" spans="35:35" x14ac:dyDescent="0.25">
      <c r="AI452" s="1"/>
    </row>
    <row r="453" spans="35:35" x14ac:dyDescent="0.25">
      <c r="AI453" s="1"/>
    </row>
    <row r="454" spans="35:35" x14ac:dyDescent="0.25">
      <c r="AI454" s="1"/>
    </row>
    <row r="455" spans="35:35" x14ac:dyDescent="0.25">
      <c r="AI455" s="1"/>
    </row>
    <row r="456" spans="35:35" x14ac:dyDescent="0.25">
      <c r="AI456" s="1"/>
    </row>
    <row r="457" spans="35:35" x14ac:dyDescent="0.25">
      <c r="AI457" s="1"/>
    </row>
    <row r="458" spans="35:35" x14ac:dyDescent="0.25">
      <c r="AI458" s="1"/>
    </row>
    <row r="459" spans="35:35" x14ac:dyDescent="0.25">
      <c r="AI459" s="1"/>
    </row>
    <row r="460" spans="35:35" x14ac:dyDescent="0.25">
      <c r="AI460" s="1"/>
    </row>
    <row r="461" spans="35:35" x14ac:dyDescent="0.25">
      <c r="AI461" s="1"/>
    </row>
    <row r="462" spans="35:35" x14ac:dyDescent="0.25">
      <c r="AI462" s="1"/>
    </row>
    <row r="463" spans="35:35" x14ac:dyDescent="0.25">
      <c r="AI463" s="1"/>
    </row>
    <row r="464" spans="35:35" x14ac:dyDescent="0.25">
      <c r="AI464" s="1"/>
    </row>
    <row r="465" spans="35:35" x14ac:dyDescent="0.25">
      <c r="AI465" s="1"/>
    </row>
    <row r="466" spans="35:35" x14ac:dyDescent="0.25">
      <c r="AI466" s="1"/>
    </row>
    <row r="467" spans="35:35" x14ac:dyDescent="0.25">
      <c r="AI467" s="1"/>
    </row>
    <row r="468" spans="35:35" x14ac:dyDescent="0.25">
      <c r="AI468" s="1"/>
    </row>
    <row r="469" spans="35:35" x14ac:dyDescent="0.25">
      <c r="AI469" s="1"/>
    </row>
    <row r="470" spans="35:35" x14ac:dyDescent="0.25">
      <c r="AI470" s="1"/>
    </row>
    <row r="471" spans="35:35" x14ac:dyDescent="0.25">
      <c r="AI471" s="1"/>
    </row>
    <row r="472" spans="35:35" x14ac:dyDescent="0.25">
      <c r="AI472" s="1"/>
    </row>
    <row r="473" spans="35:35" x14ac:dyDescent="0.25">
      <c r="AI473" s="1"/>
    </row>
    <row r="474" spans="35:35" x14ac:dyDescent="0.25">
      <c r="AI474" s="1"/>
    </row>
    <row r="475" spans="35:35" x14ac:dyDescent="0.25">
      <c r="AI475" s="1"/>
    </row>
    <row r="476" spans="35:35" x14ac:dyDescent="0.25">
      <c r="AI476" s="1"/>
    </row>
    <row r="477" spans="35:35" x14ac:dyDescent="0.25">
      <c r="AI477" s="1"/>
    </row>
    <row r="478" spans="35:35" x14ac:dyDescent="0.25">
      <c r="AI478" s="1"/>
    </row>
    <row r="479" spans="35:35" x14ac:dyDescent="0.25">
      <c r="AI479" s="1"/>
    </row>
    <row r="480" spans="35:35" x14ac:dyDescent="0.25">
      <c r="AI480" s="1"/>
    </row>
    <row r="481" spans="35:35" x14ac:dyDescent="0.25">
      <c r="AI481" s="1"/>
    </row>
    <row r="482" spans="35:35" x14ac:dyDescent="0.25">
      <c r="AI482" s="1"/>
    </row>
    <row r="483" spans="35:35" x14ac:dyDescent="0.25">
      <c r="AI483" s="1"/>
    </row>
    <row r="484" spans="35:35" x14ac:dyDescent="0.25">
      <c r="AI484" s="1"/>
    </row>
    <row r="485" spans="35:35" x14ac:dyDescent="0.25">
      <c r="AI485" s="1"/>
    </row>
    <row r="486" spans="35:35" x14ac:dyDescent="0.25">
      <c r="AI486" s="1"/>
    </row>
    <row r="487" spans="35:35" x14ac:dyDescent="0.25">
      <c r="AI487" s="1"/>
    </row>
    <row r="488" spans="35:35" x14ac:dyDescent="0.25">
      <c r="AI488" s="1"/>
    </row>
    <row r="489" spans="35:35" x14ac:dyDescent="0.25">
      <c r="AI489" s="1"/>
    </row>
    <row r="490" spans="35:35" x14ac:dyDescent="0.25">
      <c r="AI490" s="1"/>
    </row>
    <row r="491" spans="35:35" x14ac:dyDescent="0.25">
      <c r="AI491" s="1"/>
    </row>
    <row r="492" spans="35:35" x14ac:dyDescent="0.25">
      <c r="AI492" s="1"/>
    </row>
    <row r="493" spans="35:35" x14ac:dyDescent="0.25">
      <c r="AI493" s="1"/>
    </row>
    <row r="494" spans="35:35" x14ac:dyDescent="0.25">
      <c r="AI494" s="1"/>
    </row>
    <row r="495" spans="35:35" x14ac:dyDescent="0.25">
      <c r="AI495" s="1"/>
    </row>
    <row r="496" spans="35:35" x14ac:dyDescent="0.25">
      <c r="AI496" s="1"/>
    </row>
    <row r="497" spans="35:35" x14ac:dyDescent="0.25">
      <c r="AI497" s="1"/>
    </row>
    <row r="498" spans="35:35" x14ac:dyDescent="0.25">
      <c r="AI498" s="1"/>
    </row>
    <row r="499" spans="35:35" x14ac:dyDescent="0.25">
      <c r="AI499" s="1"/>
    </row>
    <row r="500" spans="35:35" x14ac:dyDescent="0.25">
      <c r="AI500" s="1"/>
    </row>
    <row r="501" spans="35:35" x14ac:dyDescent="0.25">
      <c r="AI501" s="1"/>
    </row>
    <row r="502" spans="35:35" x14ac:dyDescent="0.25">
      <c r="AI502" s="1"/>
    </row>
    <row r="503" spans="35:35" x14ac:dyDescent="0.25">
      <c r="AI503" s="1"/>
    </row>
    <row r="504" spans="35:35" x14ac:dyDescent="0.25">
      <c r="AI504" s="1"/>
    </row>
    <row r="505" spans="35:35" x14ac:dyDescent="0.25">
      <c r="AI505" s="1"/>
    </row>
    <row r="506" spans="35:35" x14ac:dyDescent="0.25">
      <c r="AI506" s="1"/>
    </row>
    <row r="507" spans="35:35" x14ac:dyDescent="0.25">
      <c r="AI507" s="1"/>
    </row>
    <row r="508" spans="35:35" x14ac:dyDescent="0.25">
      <c r="AI508" s="1"/>
    </row>
    <row r="509" spans="35:35" x14ac:dyDescent="0.25">
      <c r="AI509" s="1"/>
    </row>
    <row r="510" spans="35:35" x14ac:dyDescent="0.25">
      <c r="AI510" s="1"/>
    </row>
    <row r="511" spans="35:35" x14ac:dyDescent="0.25">
      <c r="AI511" s="1"/>
    </row>
    <row r="512" spans="35:35" x14ac:dyDescent="0.25">
      <c r="AI512" s="1"/>
    </row>
    <row r="513" spans="35:35" x14ac:dyDescent="0.25">
      <c r="AI513" s="1"/>
    </row>
    <row r="514" spans="35:35" x14ac:dyDescent="0.25">
      <c r="AI514" s="1"/>
    </row>
    <row r="515" spans="35:35" x14ac:dyDescent="0.25">
      <c r="AI515" s="1"/>
    </row>
    <row r="516" spans="35:35" x14ac:dyDescent="0.25">
      <c r="AI516" s="1"/>
    </row>
    <row r="517" spans="35:35" x14ac:dyDescent="0.25">
      <c r="AI517" s="1"/>
    </row>
    <row r="518" spans="35:35" x14ac:dyDescent="0.25">
      <c r="AI518" s="1"/>
    </row>
    <row r="519" spans="35:35" x14ac:dyDescent="0.25">
      <c r="AI519" s="1"/>
    </row>
    <row r="520" spans="35:35" x14ac:dyDescent="0.25">
      <c r="AI520" s="1"/>
    </row>
    <row r="521" spans="35:35" x14ac:dyDescent="0.25">
      <c r="AI521" s="1"/>
    </row>
    <row r="522" spans="35:35" x14ac:dyDescent="0.25">
      <c r="AI522" s="1"/>
    </row>
    <row r="523" spans="35:35" x14ac:dyDescent="0.25">
      <c r="AI523" s="1"/>
    </row>
    <row r="524" spans="35:35" x14ac:dyDescent="0.25">
      <c r="AI524" s="1"/>
    </row>
    <row r="525" spans="35:35" x14ac:dyDescent="0.25">
      <c r="AI525" s="1"/>
    </row>
    <row r="526" spans="35:35" x14ac:dyDescent="0.25">
      <c r="AI526" s="1"/>
    </row>
    <row r="527" spans="35:35" x14ac:dyDescent="0.25">
      <c r="AI527" s="1"/>
    </row>
    <row r="528" spans="35:35" x14ac:dyDescent="0.25">
      <c r="AI528" s="1"/>
    </row>
    <row r="529" spans="35:35" x14ac:dyDescent="0.25">
      <c r="AI529" s="1"/>
    </row>
    <row r="530" spans="35:35" x14ac:dyDescent="0.25">
      <c r="AI530" s="1"/>
    </row>
    <row r="531" spans="35:35" x14ac:dyDescent="0.25">
      <c r="AI531" s="1"/>
    </row>
    <row r="532" spans="35:35" x14ac:dyDescent="0.25">
      <c r="AI532" s="1"/>
    </row>
    <row r="533" spans="35:35" x14ac:dyDescent="0.25">
      <c r="AI533" s="1"/>
    </row>
    <row r="534" spans="35:35" x14ac:dyDescent="0.25">
      <c r="AI534" s="1"/>
    </row>
    <row r="535" spans="35:35" x14ac:dyDescent="0.25">
      <c r="AI535" s="1"/>
    </row>
    <row r="536" spans="35:35" x14ac:dyDescent="0.25">
      <c r="AI536" s="1"/>
    </row>
    <row r="537" spans="35:35" x14ac:dyDescent="0.25">
      <c r="AI537" s="1"/>
    </row>
    <row r="538" spans="35:35" x14ac:dyDescent="0.25">
      <c r="AI538" s="1"/>
    </row>
    <row r="539" spans="35:35" x14ac:dyDescent="0.25">
      <c r="AI539" s="1"/>
    </row>
    <row r="540" spans="35:35" x14ac:dyDescent="0.25">
      <c r="AI540" s="1"/>
    </row>
    <row r="541" spans="35:35" x14ac:dyDescent="0.25">
      <c r="AI541" s="1"/>
    </row>
    <row r="542" spans="35:35" x14ac:dyDescent="0.25">
      <c r="AI542" s="1"/>
    </row>
    <row r="543" spans="35:35" x14ac:dyDescent="0.25">
      <c r="AI543" s="1"/>
    </row>
    <row r="544" spans="35:35" x14ac:dyDescent="0.25">
      <c r="AI544" s="1"/>
    </row>
    <row r="545" spans="35:35" x14ac:dyDescent="0.25">
      <c r="AI545" s="1"/>
    </row>
    <row r="546" spans="35:35" x14ac:dyDescent="0.25">
      <c r="AI546" s="1"/>
    </row>
    <row r="547" spans="35:35" x14ac:dyDescent="0.25">
      <c r="AI547" s="1"/>
    </row>
    <row r="548" spans="35:35" x14ac:dyDescent="0.25">
      <c r="AI548" s="1"/>
    </row>
    <row r="549" spans="35:35" x14ac:dyDescent="0.25">
      <c r="AI549" s="1"/>
    </row>
    <row r="550" spans="35:35" x14ac:dyDescent="0.25">
      <c r="AI550" s="1"/>
    </row>
    <row r="551" spans="35:35" x14ac:dyDescent="0.25">
      <c r="AI551" s="1"/>
    </row>
    <row r="552" spans="35:35" x14ac:dyDescent="0.25">
      <c r="AI552" s="1"/>
    </row>
    <row r="553" spans="35:35" x14ac:dyDescent="0.25">
      <c r="AI553" s="1"/>
    </row>
    <row r="554" spans="35:35" x14ac:dyDescent="0.25">
      <c r="AI554" s="1"/>
    </row>
    <row r="555" spans="35:35" x14ac:dyDescent="0.25">
      <c r="AI555" s="1"/>
    </row>
    <row r="556" spans="35:35" x14ac:dyDescent="0.25">
      <c r="AI556" s="1"/>
    </row>
    <row r="557" spans="35:35" x14ac:dyDescent="0.25">
      <c r="AI557" s="1"/>
    </row>
    <row r="558" spans="35:35" x14ac:dyDescent="0.25">
      <c r="AI558" s="1"/>
    </row>
    <row r="559" spans="35:35" x14ac:dyDescent="0.25">
      <c r="AI559" s="1"/>
    </row>
    <row r="560" spans="35:35" x14ac:dyDescent="0.25">
      <c r="AI560" s="1"/>
    </row>
    <row r="561" spans="35:35" x14ac:dyDescent="0.25">
      <c r="AI561" s="1"/>
    </row>
    <row r="562" spans="35:35" x14ac:dyDescent="0.25">
      <c r="AI562" s="1"/>
    </row>
    <row r="563" spans="35:35" x14ac:dyDescent="0.25">
      <c r="AI563" s="1"/>
    </row>
    <row r="564" spans="35:35" x14ac:dyDescent="0.25">
      <c r="AI564" s="1"/>
    </row>
    <row r="565" spans="35:35" x14ac:dyDescent="0.25">
      <c r="AI565" s="1"/>
    </row>
    <row r="566" spans="35:35" x14ac:dyDescent="0.25">
      <c r="AI566" s="1"/>
    </row>
    <row r="567" spans="35:35" x14ac:dyDescent="0.25">
      <c r="AI567" s="1"/>
    </row>
    <row r="568" spans="35:35" x14ac:dyDescent="0.25">
      <c r="AI568" s="1"/>
    </row>
    <row r="569" spans="35:35" x14ac:dyDescent="0.25">
      <c r="AI569" s="1"/>
    </row>
    <row r="570" spans="35:35" x14ac:dyDescent="0.25">
      <c r="AI570" s="1"/>
    </row>
    <row r="571" spans="35:35" x14ac:dyDescent="0.25">
      <c r="AI571" s="1"/>
    </row>
    <row r="572" spans="35:35" x14ac:dyDescent="0.25">
      <c r="AI572" s="1"/>
    </row>
    <row r="573" spans="35:35" x14ac:dyDescent="0.25">
      <c r="AI573" s="1"/>
    </row>
    <row r="574" spans="35:35" x14ac:dyDescent="0.25">
      <c r="AI574" s="1"/>
    </row>
    <row r="575" spans="35:35" x14ac:dyDescent="0.25">
      <c r="AI575" s="1"/>
    </row>
    <row r="576" spans="35:35" x14ac:dyDescent="0.25">
      <c r="AI576" s="1"/>
    </row>
    <row r="577" spans="35:35" x14ac:dyDescent="0.25">
      <c r="AI577" s="1"/>
    </row>
    <row r="578" spans="35:35" x14ac:dyDescent="0.25">
      <c r="AI578" s="1"/>
    </row>
    <row r="579" spans="35:35" x14ac:dyDescent="0.25">
      <c r="AI579" s="1"/>
    </row>
    <row r="580" spans="35:35" x14ac:dyDescent="0.25">
      <c r="AI580" s="1"/>
    </row>
    <row r="581" spans="35:35" x14ac:dyDescent="0.25">
      <c r="AI581" s="1"/>
    </row>
    <row r="582" spans="35:35" x14ac:dyDescent="0.25">
      <c r="AI582" s="1"/>
    </row>
    <row r="583" spans="35:35" x14ac:dyDescent="0.25">
      <c r="AI583" s="1"/>
    </row>
    <row r="584" spans="35:35" x14ac:dyDescent="0.25">
      <c r="AI584" s="1"/>
    </row>
    <row r="585" spans="35:35" x14ac:dyDescent="0.25">
      <c r="AI585" s="1"/>
    </row>
    <row r="586" spans="35:35" x14ac:dyDescent="0.25">
      <c r="AI586" s="1"/>
    </row>
    <row r="587" spans="35:35" x14ac:dyDescent="0.25">
      <c r="AI587" s="1"/>
    </row>
    <row r="588" spans="35:35" x14ac:dyDescent="0.25">
      <c r="AI588" s="1"/>
    </row>
    <row r="589" spans="35:35" x14ac:dyDescent="0.25">
      <c r="AI589" s="1"/>
    </row>
    <row r="590" spans="35:35" x14ac:dyDescent="0.25">
      <c r="AI590" s="1"/>
    </row>
    <row r="591" spans="35:35" x14ac:dyDescent="0.25">
      <c r="AI591" s="1"/>
    </row>
    <row r="592" spans="35:35" x14ac:dyDescent="0.25">
      <c r="AI592" s="1"/>
    </row>
    <row r="593" spans="35:35" x14ac:dyDescent="0.25">
      <c r="AI593" s="1"/>
    </row>
    <row r="594" spans="35:35" x14ac:dyDescent="0.25">
      <c r="AI594" s="1"/>
    </row>
    <row r="595" spans="35:35" x14ac:dyDescent="0.25">
      <c r="AI595" s="1"/>
    </row>
    <row r="596" spans="35:35" x14ac:dyDescent="0.25">
      <c r="AI596" s="1"/>
    </row>
    <row r="597" spans="35:35" x14ac:dyDescent="0.25">
      <c r="AI597" s="1"/>
    </row>
    <row r="598" spans="35:35" x14ac:dyDescent="0.25">
      <c r="AI598" s="1"/>
    </row>
    <row r="599" spans="35:35" x14ac:dyDescent="0.25">
      <c r="AI599" s="1"/>
    </row>
    <row r="600" spans="35:35" x14ac:dyDescent="0.25">
      <c r="AI600" s="1"/>
    </row>
    <row r="601" spans="35:35" x14ac:dyDescent="0.25">
      <c r="AI601" s="1"/>
    </row>
    <row r="602" spans="35:35" x14ac:dyDescent="0.25">
      <c r="AI602" s="1"/>
    </row>
    <row r="603" spans="35:35" x14ac:dyDescent="0.25">
      <c r="AI603" s="1"/>
    </row>
    <row r="604" spans="35:35" x14ac:dyDescent="0.25">
      <c r="AI604" s="1"/>
    </row>
    <row r="605" spans="35:35" x14ac:dyDescent="0.25">
      <c r="AI605" s="1"/>
    </row>
    <row r="606" spans="35:35" x14ac:dyDescent="0.25">
      <c r="AI606" s="1"/>
    </row>
    <row r="607" spans="35:35" x14ac:dyDescent="0.25">
      <c r="AI607" s="1"/>
    </row>
    <row r="608" spans="35:35" x14ac:dyDescent="0.25">
      <c r="AI608" s="1"/>
    </row>
    <row r="609" spans="35:35" x14ac:dyDescent="0.25">
      <c r="AI609" s="1"/>
    </row>
    <row r="610" spans="35:35" x14ac:dyDescent="0.25">
      <c r="AI610" s="1"/>
    </row>
    <row r="611" spans="35:35" x14ac:dyDescent="0.25">
      <c r="AI611" s="1"/>
    </row>
    <row r="612" spans="35:35" x14ac:dyDescent="0.25">
      <c r="AI612" s="1"/>
    </row>
    <row r="613" spans="35:35" x14ac:dyDescent="0.25">
      <c r="AI613" s="1"/>
    </row>
    <row r="614" spans="35:35" x14ac:dyDescent="0.25">
      <c r="AI614" s="1"/>
    </row>
    <row r="615" spans="35:35" x14ac:dyDescent="0.25">
      <c r="AI615" s="1"/>
    </row>
    <row r="616" spans="35:35" x14ac:dyDescent="0.25">
      <c r="AI616" s="1"/>
    </row>
    <row r="617" spans="35:35" x14ac:dyDescent="0.25">
      <c r="AI617" s="1"/>
    </row>
    <row r="618" spans="35:35" x14ac:dyDescent="0.25">
      <c r="AI618" s="1"/>
    </row>
    <row r="619" spans="35:35" x14ac:dyDescent="0.25">
      <c r="AI619" s="1"/>
    </row>
    <row r="620" spans="35:35" x14ac:dyDescent="0.25">
      <c r="AI620" s="1"/>
    </row>
    <row r="621" spans="35:35" x14ac:dyDescent="0.25">
      <c r="AI621" s="1"/>
    </row>
    <row r="622" spans="35:35" x14ac:dyDescent="0.25">
      <c r="AI622" s="1"/>
    </row>
    <row r="623" spans="35:35" x14ac:dyDescent="0.25">
      <c r="AI623" s="1"/>
    </row>
    <row r="624" spans="35:35" x14ac:dyDescent="0.25">
      <c r="AI624" s="1"/>
    </row>
    <row r="625" spans="35:35" x14ac:dyDescent="0.25">
      <c r="AI625" s="1"/>
    </row>
    <row r="626" spans="35:35" x14ac:dyDescent="0.25">
      <c r="AI626" s="1"/>
    </row>
    <row r="627" spans="35:35" x14ac:dyDescent="0.25">
      <c r="AI627" s="1"/>
    </row>
    <row r="628" spans="35:35" x14ac:dyDescent="0.25">
      <c r="AI628" s="1"/>
    </row>
    <row r="629" spans="35:35" x14ac:dyDescent="0.25">
      <c r="AI629" s="1"/>
    </row>
    <row r="630" spans="35:35" x14ac:dyDescent="0.25">
      <c r="AI630" s="1"/>
    </row>
    <row r="631" spans="35:35" x14ac:dyDescent="0.25">
      <c r="AI631" s="1"/>
    </row>
    <row r="632" spans="35:35" x14ac:dyDescent="0.25">
      <c r="AI632" s="1"/>
    </row>
    <row r="633" spans="35:35" x14ac:dyDescent="0.25">
      <c r="AI633" s="1"/>
    </row>
    <row r="634" spans="35:35" x14ac:dyDescent="0.25">
      <c r="AI634" s="1"/>
    </row>
    <row r="635" spans="35:35" x14ac:dyDescent="0.25">
      <c r="AI635" s="1"/>
    </row>
    <row r="636" spans="35:35" x14ac:dyDescent="0.25">
      <c r="AI636" s="1"/>
    </row>
    <row r="637" spans="35:35" x14ac:dyDescent="0.25">
      <c r="AI637" s="1"/>
    </row>
    <row r="638" spans="35:35" x14ac:dyDescent="0.25">
      <c r="AI638" s="1"/>
    </row>
    <row r="639" spans="35:35" x14ac:dyDescent="0.25">
      <c r="AI639" s="1"/>
    </row>
    <row r="640" spans="35:35" x14ac:dyDescent="0.25">
      <c r="AI640" s="1"/>
    </row>
    <row r="641" spans="35:35" x14ac:dyDescent="0.25">
      <c r="AI641" s="1"/>
    </row>
    <row r="642" spans="35:35" x14ac:dyDescent="0.25">
      <c r="AI642" s="1"/>
    </row>
    <row r="643" spans="35:35" x14ac:dyDescent="0.25">
      <c r="AI643" s="1"/>
    </row>
    <row r="644" spans="35:35" x14ac:dyDescent="0.25">
      <c r="AI644" s="1"/>
    </row>
    <row r="645" spans="35:35" x14ac:dyDescent="0.25">
      <c r="AI645" s="1"/>
    </row>
    <row r="646" spans="35:35" x14ac:dyDescent="0.25">
      <c r="AI646" s="1"/>
    </row>
    <row r="647" spans="35:35" x14ac:dyDescent="0.25">
      <c r="AI647" s="1"/>
    </row>
    <row r="648" spans="35:35" x14ac:dyDescent="0.25">
      <c r="AI648" s="1"/>
    </row>
    <row r="649" spans="35:35" x14ac:dyDescent="0.25">
      <c r="AI649" s="1"/>
    </row>
    <row r="650" spans="35:35" x14ac:dyDescent="0.25">
      <c r="AI650" s="1"/>
    </row>
    <row r="651" spans="35:35" x14ac:dyDescent="0.25">
      <c r="AI651" s="1"/>
    </row>
    <row r="652" spans="35:35" x14ac:dyDescent="0.25">
      <c r="AI652" s="1"/>
    </row>
    <row r="653" spans="35:35" x14ac:dyDescent="0.25">
      <c r="AI653" s="1"/>
    </row>
    <row r="654" spans="35:35" x14ac:dyDescent="0.25">
      <c r="AI654" s="1"/>
    </row>
    <row r="655" spans="35:35" x14ac:dyDescent="0.25">
      <c r="AI655" s="1"/>
    </row>
    <row r="656" spans="35:35" x14ac:dyDescent="0.25">
      <c r="AI656" s="1"/>
    </row>
    <row r="657" spans="35:35" x14ac:dyDescent="0.25">
      <c r="AI657" s="1"/>
    </row>
    <row r="658" spans="35:35" x14ac:dyDescent="0.25">
      <c r="AI658" s="1"/>
    </row>
    <row r="659" spans="35:35" x14ac:dyDescent="0.25">
      <c r="AI659" s="1"/>
    </row>
    <row r="660" spans="35:35" x14ac:dyDescent="0.25">
      <c r="AI660" s="1"/>
    </row>
    <row r="661" spans="35:35" x14ac:dyDescent="0.25">
      <c r="AI661" s="1"/>
    </row>
    <row r="662" spans="35:35" x14ac:dyDescent="0.25">
      <c r="AI662" s="1"/>
    </row>
    <row r="663" spans="35:35" x14ac:dyDescent="0.25">
      <c r="AI663" s="1"/>
    </row>
    <row r="664" spans="35:35" x14ac:dyDescent="0.25">
      <c r="AI664" s="1"/>
    </row>
    <row r="665" spans="35:35" x14ac:dyDescent="0.25">
      <c r="AI665" s="1"/>
    </row>
    <row r="666" spans="35:35" x14ac:dyDescent="0.25">
      <c r="AI666" s="1"/>
    </row>
    <row r="667" spans="35:35" x14ac:dyDescent="0.25">
      <c r="AI667" s="1"/>
    </row>
    <row r="668" spans="35:35" x14ac:dyDescent="0.25">
      <c r="AI668" s="1"/>
    </row>
    <row r="669" spans="35:35" x14ac:dyDescent="0.25">
      <c r="AI669" s="1"/>
    </row>
    <row r="670" spans="35:35" x14ac:dyDescent="0.25">
      <c r="AI670" s="1"/>
    </row>
    <row r="671" spans="35:35" x14ac:dyDescent="0.25">
      <c r="AI671" s="1"/>
    </row>
    <row r="672" spans="35:35" x14ac:dyDescent="0.25">
      <c r="AI672" s="1"/>
    </row>
    <row r="673" spans="35:35" x14ac:dyDescent="0.25">
      <c r="AI673" s="1"/>
    </row>
    <row r="674" spans="35:35" x14ac:dyDescent="0.25">
      <c r="AI674" s="1"/>
    </row>
    <row r="675" spans="35:35" x14ac:dyDescent="0.25">
      <c r="AI675" s="1"/>
    </row>
    <row r="676" spans="35:35" x14ac:dyDescent="0.25">
      <c r="AI676" s="1"/>
    </row>
    <row r="677" spans="35:35" x14ac:dyDescent="0.25">
      <c r="AI677" s="1"/>
    </row>
    <row r="678" spans="35:35" x14ac:dyDescent="0.25">
      <c r="AI678" s="1"/>
    </row>
    <row r="679" spans="35:35" x14ac:dyDescent="0.25">
      <c r="AI679" s="1"/>
    </row>
    <row r="680" spans="35:35" x14ac:dyDescent="0.25">
      <c r="AI680" s="1"/>
    </row>
    <row r="681" spans="35:35" x14ac:dyDescent="0.25">
      <c r="AI681" s="1"/>
    </row>
    <row r="682" spans="35:35" x14ac:dyDescent="0.25">
      <c r="AI682" s="1"/>
    </row>
    <row r="683" spans="35:35" x14ac:dyDescent="0.25">
      <c r="AI683" s="1"/>
    </row>
    <row r="684" spans="35:35" x14ac:dyDescent="0.25">
      <c r="AI684" s="1"/>
    </row>
    <row r="685" spans="35:35" x14ac:dyDescent="0.25">
      <c r="AI685" s="1"/>
    </row>
    <row r="686" spans="35:35" x14ac:dyDescent="0.25">
      <c r="AI686" s="1"/>
    </row>
    <row r="687" spans="35:35" x14ac:dyDescent="0.25">
      <c r="AI687" s="1"/>
    </row>
    <row r="688" spans="35:35" x14ac:dyDescent="0.25">
      <c r="AI688" s="1"/>
    </row>
    <row r="689" spans="35:35" x14ac:dyDescent="0.25">
      <c r="AI689" s="1"/>
    </row>
    <row r="690" spans="35:35" x14ac:dyDescent="0.25">
      <c r="AI690" s="1"/>
    </row>
    <row r="691" spans="35:35" x14ac:dyDescent="0.25">
      <c r="AI691" s="1"/>
    </row>
    <row r="692" spans="35:35" x14ac:dyDescent="0.25">
      <c r="AI692" s="1"/>
    </row>
    <row r="693" spans="35:35" x14ac:dyDescent="0.25">
      <c r="AI693" s="1"/>
    </row>
    <row r="694" spans="35:35" x14ac:dyDescent="0.25">
      <c r="AI694" s="1"/>
    </row>
    <row r="695" spans="35:35" x14ac:dyDescent="0.25">
      <c r="AI695" s="1"/>
    </row>
    <row r="696" spans="35:35" x14ac:dyDescent="0.25">
      <c r="AI696" s="1"/>
    </row>
    <row r="697" spans="35:35" x14ac:dyDescent="0.25">
      <c r="AI697" s="1"/>
    </row>
    <row r="698" spans="35:35" x14ac:dyDescent="0.25">
      <c r="AI698" s="1"/>
    </row>
    <row r="699" spans="35:35" x14ac:dyDescent="0.25">
      <c r="AI699" s="1"/>
    </row>
    <row r="700" spans="35:35" x14ac:dyDescent="0.25">
      <c r="AI700" s="1"/>
    </row>
    <row r="701" spans="35:35" x14ac:dyDescent="0.25">
      <c r="AI701" s="1"/>
    </row>
    <row r="702" spans="35:35" x14ac:dyDescent="0.25">
      <c r="AI702" s="1"/>
    </row>
    <row r="703" spans="35:35" x14ac:dyDescent="0.25">
      <c r="AI703" s="1"/>
    </row>
    <row r="704" spans="35:35" x14ac:dyDescent="0.25">
      <c r="AI704" s="1"/>
    </row>
    <row r="705" spans="35:35" x14ac:dyDescent="0.25">
      <c r="AI705" s="1"/>
    </row>
    <row r="706" spans="35:35" x14ac:dyDescent="0.25">
      <c r="AI706" s="1"/>
    </row>
    <row r="707" spans="35:35" x14ac:dyDescent="0.25">
      <c r="AI707" s="1"/>
    </row>
    <row r="708" spans="35:35" x14ac:dyDescent="0.25">
      <c r="AI708" s="1"/>
    </row>
    <row r="709" spans="35:35" x14ac:dyDescent="0.25">
      <c r="AI709" s="1"/>
    </row>
    <row r="710" spans="35:35" x14ac:dyDescent="0.25">
      <c r="AI710" s="1"/>
    </row>
    <row r="711" spans="35:35" x14ac:dyDescent="0.25">
      <c r="AI711" s="1"/>
    </row>
    <row r="712" spans="35:35" x14ac:dyDescent="0.25">
      <c r="AI712" s="1"/>
    </row>
    <row r="713" spans="35:35" x14ac:dyDescent="0.25">
      <c r="AI713" s="1"/>
    </row>
    <row r="714" spans="35:35" x14ac:dyDescent="0.25">
      <c r="AI714" s="1"/>
    </row>
    <row r="715" spans="35:35" x14ac:dyDescent="0.25">
      <c r="AI715" s="1"/>
    </row>
    <row r="716" spans="35:35" x14ac:dyDescent="0.25">
      <c r="AI716" s="1"/>
    </row>
    <row r="717" spans="35:35" x14ac:dyDescent="0.25">
      <c r="AI717" s="1"/>
    </row>
    <row r="718" spans="35:35" x14ac:dyDescent="0.25">
      <c r="AI718" s="1"/>
    </row>
    <row r="719" spans="35:35" x14ac:dyDescent="0.25">
      <c r="AI719" s="1"/>
    </row>
    <row r="720" spans="35:35" x14ac:dyDescent="0.25">
      <c r="AI720" s="1"/>
    </row>
    <row r="721" spans="35:35" x14ac:dyDescent="0.25">
      <c r="AI721" s="1"/>
    </row>
    <row r="722" spans="35:35" x14ac:dyDescent="0.25">
      <c r="AI722" s="1"/>
    </row>
    <row r="723" spans="35:35" x14ac:dyDescent="0.25">
      <c r="AI723" s="1"/>
    </row>
    <row r="724" spans="35:35" x14ac:dyDescent="0.25">
      <c r="AI724" s="1"/>
    </row>
    <row r="725" spans="35:35" x14ac:dyDescent="0.25">
      <c r="AI725" s="1"/>
    </row>
    <row r="726" spans="35:35" x14ac:dyDescent="0.25">
      <c r="AI726" s="1"/>
    </row>
    <row r="727" spans="35:35" x14ac:dyDescent="0.25">
      <c r="AI727" s="1"/>
    </row>
    <row r="728" spans="35:35" x14ac:dyDescent="0.25">
      <c r="AI728" s="1"/>
    </row>
    <row r="729" spans="35:35" x14ac:dyDescent="0.25">
      <c r="AI729" s="1"/>
    </row>
    <row r="730" spans="35:35" x14ac:dyDescent="0.25">
      <c r="AI730" s="1"/>
    </row>
    <row r="731" spans="35:35" x14ac:dyDescent="0.25">
      <c r="AI731" s="1"/>
    </row>
    <row r="732" spans="35:35" x14ac:dyDescent="0.25">
      <c r="AI732" s="1"/>
    </row>
    <row r="733" spans="35:35" x14ac:dyDescent="0.25">
      <c r="AI733" s="1"/>
    </row>
    <row r="734" spans="35:35" x14ac:dyDescent="0.25">
      <c r="AI734" s="1"/>
    </row>
    <row r="735" spans="35:35" x14ac:dyDescent="0.25">
      <c r="AI735" s="1"/>
    </row>
    <row r="736" spans="35:35" x14ac:dyDescent="0.25">
      <c r="AI736" s="1"/>
    </row>
    <row r="737" spans="35:35" x14ac:dyDescent="0.25">
      <c r="AI737" s="1"/>
    </row>
    <row r="738" spans="35:35" x14ac:dyDescent="0.25">
      <c r="AI738" s="1"/>
    </row>
    <row r="739" spans="35:35" x14ac:dyDescent="0.25">
      <c r="AI739" s="1"/>
    </row>
    <row r="740" spans="35:35" x14ac:dyDescent="0.25">
      <c r="AI740" s="1"/>
    </row>
    <row r="741" spans="35:35" x14ac:dyDescent="0.25">
      <c r="AI741" s="1"/>
    </row>
    <row r="742" spans="35:35" x14ac:dyDescent="0.25">
      <c r="AI742" s="1"/>
    </row>
    <row r="743" spans="35:35" x14ac:dyDescent="0.25">
      <c r="AI743" s="1"/>
    </row>
    <row r="744" spans="35:35" x14ac:dyDescent="0.25">
      <c r="AI744" s="1"/>
    </row>
    <row r="745" spans="35:35" x14ac:dyDescent="0.25">
      <c r="AI745" s="1"/>
    </row>
    <row r="746" spans="35:35" x14ac:dyDescent="0.25">
      <c r="AI746" s="1"/>
    </row>
    <row r="747" spans="35:35" x14ac:dyDescent="0.25">
      <c r="AI747" s="1"/>
    </row>
    <row r="748" spans="35:35" x14ac:dyDescent="0.25">
      <c r="AI748" s="1"/>
    </row>
    <row r="749" spans="35:35" x14ac:dyDescent="0.25">
      <c r="AI749" s="1"/>
    </row>
    <row r="750" spans="35:35" x14ac:dyDescent="0.25">
      <c r="AI750" s="1"/>
    </row>
    <row r="751" spans="35:35" x14ac:dyDescent="0.25">
      <c r="AI751" s="1"/>
    </row>
    <row r="752" spans="35:35" x14ac:dyDescent="0.25">
      <c r="AI752" s="1"/>
    </row>
    <row r="753" spans="35:35" x14ac:dyDescent="0.25">
      <c r="AI753" s="1"/>
    </row>
    <row r="754" spans="35:35" x14ac:dyDescent="0.25">
      <c r="AI754" s="1"/>
    </row>
    <row r="755" spans="35:35" x14ac:dyDescent="0.25">
      <c r="AI755" s="1"/>
    </row>
    <row r="756" spans="35:35" x14ac:dyDescent="0.25">
      <c r="AI756" s="1"/>
    </row>
    <row r="757" spans="35:35" x14ac:dyDescent="0.25">
      <c r="AI757" s="1"/>
    </row>
    <row r="758" spans="35:35" x14ac:dyDescent="0.25">
      <c r="AI758" s="1"/>
    </row>
    <row r="759" spans="35:35" x14ac:dyDescent="0.25">
      <c r="AI759" s="1"/>
    </row>
    <row r="760" spans="35:35" x14ac:dyDescent="0.25">
      <c r="AI760" s="1"/>
    </row>
    <row r="761" spans="35:35" x14ac:dyDescent="0.25">
      <c r="AI761" s="1"/>
    </row>
    <row r="762" spans="35:35" x14ac:dyDescent="0.25">
      <c r="AI762" s="1"/>
    </row>
    <row r="763" spans="35:35" x14ac:dyDescent="0.25">
      <c r="AI763" s="1"/>
    </row>
    <row r="764" spans="35:35" x14ac:dyDescent="0.25">
      <c r="AI764" s="1"/>
    </row>
    <row r="765" spans="35:35" x14ac:dyDescent="0.25">
      <c r="AI765" s="1"/>
    </row>
    <row r="766" spans="35:35" x14ac:dyDescent="0.25">
      <c r="AI766" s="1"/>
    </row>
    <row r="767" spans="35:35" x14ac:dyDescent="0.25">
      <c r="AI767" s="1"/>
    </row>
    <row r="768" spans="35:35" x14ac:dyDescent="0.25">
      <c r="AI768" s="1"/>
    </row>
    <row r="769" spans="35:35" x14ac:dyDescent="0.25">
      <c r="AI769" s="1"/>
    </row>
    <row r="770" spans="35:35" x14ac:dyDescent="0.25">
      <c r="AI770" s="1"/>
    </row>
    <row r="771" spans="35:35" x14ac:dyDescent="0.25">
      <c r="AI771" s="1"/>
    </row>
    <row r="772" spans="35:35" x14ac:dyDescent="0.25">
      <c r="AI772" s="1"/>
    </row>
    <row r="773" spans="35:35" x14ac:dyDescent="0.25">
      <c r="AI773" s="1"/>
    </row>
    <row r="774" spans="35:35" x14ac:dyDescent="0.25">
      <c r="AI774" s="1"/>
    </row>
    <row r="775" spans="35:35" x14ac:dyDescent="0.25">
      <c r="AI775" s="1"/>
    </row>
    <row r="776" spans="35:35" x14ac:dyDescent="0.25">
      <c r="AI776" s="1"/>
    </row>
    <row r="777" spans="35:35" x14ac:dyDescent="0.25">
      <c r="AI777" s="1"/>
    </row>
    <row r="778" spans="35:35" x14ac:dyDescent="0.25">
      <c r="AI778" s="1"/>
    </row>
    <row r="779" spans="35:35" x14ac:dyDescent="0.25">
      <c r="AI779" s="1"/>
    </row>
    <row r="780" spans="35:35" x14ac:dyDescent="0.25">
      <c r="AI780" s="1"/>
    </row>
    <row r="781" spans="35:35" x14ac:dyDescent="0.25">
      <c r="AI781" s="1"/>
    </row>
    <row r="782" spans="35:35" x14ac:dyDescent="0.25">
      <c r="AI782" s="1"/>
    </row>
    <row r="783" spans="35:35" x14ac:dyDescent="0.25">
      <c r="AI783" s="1"/>
    </row>
    <row r="784" spans="35:35" x14ac:dyDescent="0.25">
      <c r="AI784" s="1"/>
    </row>
    <row r="785" spans="35:35" x14ac:dyDescent="0.25">
      <c r="AI785" s="1"/>
    </row>
    <row r="786" spans="35:35" x14ac:dyDescent="0.25">
      <c r="AI786" s="1"/>
    </row>
    <row r="787" spans="35:35" x14ac:dyDescent="0.25">
      <c r="AI787" s="1"/>
    </row>
    <row r="788" spans="35:35" x14ac:dyDescent="0.25">
      <c r="AI788" s="1"/>
    </row>
    <row r="789" spans="35:35" x14ac:dyDescent="0.25">
      <c r="AI789" s="1"/>
    </row>
    <row r="790" spans="35:35" x14ac:dyDescent="0.25">
      <c r="AI790" s="1"/>
    </row>
    <row r="791" spans="35:35" x14ac:dyDescent="0.25">
      <c r="AI791" s="1"/>
    </row>
    <row r="792" spans="35:35" x14ac:dyDescent="0.25">
      <c r="AI792" s="1"/>
    </row>
    <row r="793" spans="35:35" x14ac:dyDescent="0.25">
      <c r="AI793" s="1"/>
    </row>
    <row r="794" spans="35:35" x14ac:dyDescent="0.25">
      <c r="AI794" s="1"/>
    </row>
    <row r="795" spans="35:35" x14ac:dyDescent="0.25">
      <c r="AI795" s="1"/>
    </row>
    <row r="796" spans="35:35" x14ac:dyDescent="0.25">
      <c r="AI796" s="1"/>
    </row>
    <row r="797" spans="35:35" x14ac:dyDescent="0.25">
      <c r="AI797" s="1"/>
    </row>
    <row r="798" spans="35:35" x14ac:dyDescent="0.25">
      <c r="AI798" s="1"/>
    </row>
    <row r="799" spans="35:35" x14ac:dyDescent="0.25">
      <c r="AI799" s="1"/>
    </row>
    <row r="800" spans="35:35" x14ac:dyDescent="0.25">
      <c r="AI800" s="1"/>
    </row>
    <row r="801" spans="35:35" x14ac:dyDescent="0.25">
      <c r="AI801" s="1"/>
    </row>
    <row r="802" spans="35:35" x14ac:dyDescent="0.25">
      <c r="AI802" s="1"/>
    </row>
    <row r="803" spans="35:35" x14ac:dyDescent="0.25">
      <c r="AI803" s="1"/>
    </row>
    <row r="804" spans="35:35" x14ac:dyDescent="0.25">
      <c r="AI804" s="1"/>
    </row>
    <row r="805" spans="35:35" x14ac:dyDescent="0.25">
      <c r="AI805" s="1"/>
    </row>
    <row r="806" spans="35:35" x14ac:dyDescent="0.25">
      <c r="AI806" s="1"/>
    </row>
    <row r="807" spans="35:35" x14ac:dyDescent="0.25">
      <c r="AI807" s="1"/>
    </row>
    <row r="808" spans="35:35" x14ac:dyDescent="0.25">
      <c r="AI808" s="1"/>
    </row>
    <row r="809" spans="35:35" x14ac:dyDescent="0.25">
      <c r="AI809" s="1"/>
    </row>
    <row r="810" spans="35:35" x14ac:dyDescent="0.25">
      <c r="AI810" s="1"/>
    </row>
    <row r="811" spans="35:35" x14ac:dyDescent="0.25">
      <c r="AI811" s="1"/>
    </row>
    <row r="812" spans="35:35" x14ac:dyDescent="0.25">
      <c r="AI812" s="1"/>
    </row>
    <row r="813" spans="35:35" x14ac:dyDescent="0.25">
      <c r="AI813" s="1"/>
    </row>
    <row r="814" spans="35:35" x14ac:dyDescent="0.25">
      <c r="AI814" s="1"/>
    </row>
    <row r="815" spans="35:35" x14ac:dyDescent="0.25">
      <c r="AI815" s="1"/>
    </row>
    <row r="816" spans="35:35" x14ac:dyDescent="0.25">
      <c r="AI816" s="1"/>
    </row>
    <row r="817" spans="35:35" x14ac:dyDescent="0.25">
      <c r="AI817" s="1"/>
    </row>
    <row r="818" spans="35:35" x14ac:dyDescent="0.25">
      <c r="AI818" s="1"/>
    </row>
    <row r="819" spans="35:35" x14ac:dyDescent="0.25">
      <c r="AI819" s="1"/>
    </row>
    <row r="820" spans="35:35" x14ac:dyDescent="0.25">
      <c r="AI820" s="1"/>
    </row>
    <row r="821" spans="35:35" x14ac:dyDescent="0.25">
      <c r="AI821" s="1"/>
    </row>
    <row r="822" spans="35:35" x14ac:dyDescent="0.25">
      <c r="AI822" s="1"/>
    </row>
    <row r="823" spans="35:35" x14ac:dyDescent="0.25">
      <c r="AI823" s="1"/>
    </row>
    <row r="824" spans="35:35" x14ac:dyDescent="0.25">
      <c r="AI824" s="1"/>
    </row>
    <row r="825" spans="35:35" x14ac:dyDescent="0.25">
      <c r="AI825" s="1"/>
    </row>
    <row r="826" spans="35:35" x14ac:dyDescent="0.25">
      <c r="AI826" s="1"/>
    </row>
    <row r="827" spans="35:35" x14ac:dyDescent="0.25">
      <c r="AI827" s="1"/>
    </row>
    <row r="828" spans="35:35" x14ac:dyDescent="0.25">
      <c r="AI828" s="1"/>
    </row>
    <row r="829" spans="35:35" x14ac:dyDescent="0.25">
      <c r="AI829" s="1"/>
    </row>
    <row r="830" spans="35:35" x14ac:dyDescent="0.25">
      <c r="AI830" s="1"/>
    </row>
    <row r="831" spans="35:35" x14ac:dyDescent="0.25">
      <c r="AI831" s="1"/>
    </row>
    <row r="832" spans="35:35" x14ac:dyDescent="0.25">
      <c r="AI832" s="1"/>
    </row>
    <row r="833" spans="35:35" x14ac:dyDescent="0.25">
      <c r="AI833" s="1"/>
    </row>
    <row r="834" spans="35:35" x14ac:dyDescent="0.25">
      <c r="AI834" s="1"/>
    </row>
    <row r="835" spans="35:35" x14ac:dyDescent="0.25">
      <c r="AI835" s="1"/>
    </row>
    <row r="836" spans="35:35" x14ac:dyDescent="0.25">
      <c r="AI836" s="1"/>
    </row>
    <row r="837" spans="35:35" x14ac:dyDescent="0.25">
      <c r="AI837" s="1"/>
    </row>
    <row r="838" spans="35:35" x14ac:dyDescent="0.25">
      <c r="AI838" s="1"/>
    </row>
    <row r="839" spans="35:35" x14ac:dyDescent="0.25">
      <c r="AI839" s="1"/>
    </row>
    <row r="840" spans="35:35" x14ac:dyDescent="0.25">
      <c r="AI840" s="1"/>
    </row>
    <row r="841" spans="35:35" x14ac:dyDescent="0.25">
      <c r="AI841" s="1"/>
    </row>
    <row r="842" spans="35:35" x14ac:dyDescent="0.25">
      <c r="AI842" s="1"/>
    </row>
    <row r="843" spans="35:35" x14ac:dyDescent="0.25">
      <c r="AI843" s="1"/>
    </row>
    <row r="844" spans="35:35" x14ac:dyDescent="0.25">
      <c r="AI844" s="1"/>
    </row>
    <row r="845" spans="35:35" x14ac:dyDescent="0.25">
      <c r="AI845" s="1"/>
    </row>
    <row r="846" spans="35:35" x14ac:dyDescent="0.25">
      <c r="AI846" s="1"/>
    </row>
    <row r="847" spans="35:35" x14ac:dyDescent="0.25">
      <c r="AI847" s="1"/>
    </row>
    <row r="848" spans="35:35" x14ac:dyDescent="0.25">
      <c r="AI848" s="1"/>
    </row>
    <row r="849" spans="35:35" x14ac:dyDescent="0.25">
      <c r="AI849" s="1"/>
    </row>
    <row r="850" spans="35:35" x14ac:dyDescent="0.25">
      <c r="AI850" s="1"/>
    </row>
    <row r="851" spans="35:35" x14ac:dyDescent="0.25">
      <c r="AI851" s="1"/>
    </row>
    <row r="852" spans="35:35" x14ac:dyDescent="0.25">
      <c r="AI852" s="1"/>
    </row>
    <row r="853" spans="35:35" x14ac:dyDescent="0.25">
      <c r="AI853" s="1"/>
    </row>
    <row r="854" spans="35:35" x14ac:dyDescent="0.25">
      <c r="AI854" s="1"/>
    </row>
    <row r="855" spans="35:35" x14ac:dyDescent="0.25">
      <c r="AI855" s="1"/>
    </row>
    <row r="856" spans="35:35" x14ac:dyDescent="0.25">
      <c r="AI856" s="1"/>
    </row>
    <row r="857" spans="35:35" x14ac:dyDescent="0.25">
      <c r="AI857" s="1"/>
    </row>
    <row r="858" spans="35:35" x14ac:dyDescent="0.25">
      <c r="AI858" s="1"/>
    </row>
    <row r="859" spans="35:35" x14ac:dyDescent="0.25">
      <c r="AI859" s="1"/>
    </row>
    <row r="860" spans="35:35" x14ac:dyDescent="0.25">
      <c r="AI860" s="1"/>
    </row>
    <row r="861" spans="35:35" x14ac:dyDescent="0.25">
      <c r="AI861" s="1"/>
    </row>
    <row r="862" spans="35:35" x14ac:dyDescent="0.25">
      <c r="AI862" s="1"/>
    </row>
    <row r="863" spans="35:35" x14ac:dyDescent="0.25">
      <c r="AI863" s="1"/>
    </row>
    <row r="864" spans="35:35" x14ac:dyDescent="0.25">
      <c r="AI864" s="1"/>
    </row>
    <row r="865" spans="35:35" x14ac:dyDescent="0.25">
      <c r="AI865" s="1"/>
    </row>
    <row r="866" spans="35:35" x14ac:dyDescent="0.25">
      <c r="AI866" s="1"/>
    </row>
    <row r="867" spans="35:35" x14ac:dyDescent="0.25">
      <c r="AI867" s="1"/>
    </row>
    <row r="868" spans="35:35" x14ac:dyDescent="0.25">
      <c r="AI868" s="1"/>
    </row>
    <row r="869" spans="35:35" x14ac:dyDescent="0.25">
      <c r="AI869" s="1"/>
    </row>
    <row r="870" spans="35:35" x14ac:dyDescent="0.25">
      <c r="AI870" s="1"/>
    </row>
    <row r="871" spans="35:35" x14ac:dyDescent="0.25">
      <c r="AI871" s="1"/>
    </row>
    <row r="872" spans="35:35" x14ac:dyDescent="0.25">
      <c r="AI872" s="1"/>
    </row>
    <row r="873" spans="35:35" x14ac:dyDescent="0.25">
      <c r="AI873" s="1"/>
    </row>
    <row r="874" spans="35:35" x14ac:dyDescent="0.25">
      <c r="AI874" s="1"/>
    </row>
    <row r="875" spans="35:35" x14ac:dyDescent="0.25">
      <c r="AI875" s="1"/>
    </row>
    <row r="876" spans="35:35" x14ac:dyDescent="0.25">
      <c r="AI876" s="1"/>
    </row>
    <row r="877" spans="35:35" x14ac:dyDescent="0.25">
      <c r="AI877" s="1"/>
    </row>
    <row r="878" spans="35:35" x14ac:dyDescent="0.25">
      <c r="AI878" s="1"/>
    </row>
    <row r="879" spans="35:35" x14ac:dyDescent="0.25">
      <c r="AI879" s="1"/>
    </row>
    <row r="880" spans="35:35" x14ac:dyDescent="0.25">
      <c r="AI880" s="1"/>
    </row>
    <row r="881" spans="35:35" x14ac:dyDescent="0.25">
      <c r="AI881" s="1"/>
    </row>
    <row r="882" spans="35:35" x14ac:dyDescent="0.25">
      <c r="AI882" s="1"/>
    </row>
    <row r="883" spans="35:35" x14ac:dyDescent="0.25">
      <c r="AI883" s="1"/>
    </row>
    <row r="884" spans="35:35" x14ac:dyDescent="0.25">
      <c r="AI884" s="1"/>
    </row>
    <row r="885" spans="35:35" x14ac:dyDescent="0.25">
      <c r="AI885" s="1"/>
    </row>
    <row r="886" spans="35:35" x14ac:dyDescent="0.25">
      <c r="AI886" s="1"/>
    </row>
    <row r="887" spans="35:35" x14ac:dyDescent="0.25">
      <c r="AI887" s="1"/>
    </row>
    <row r="888" spans="35:35" x14ac:dyDescent="0.25">
      <c r="AI888" s="1"/>
    </row>
    <row r="889" spans="35:35" x14ac:dyDescent="0.25">
      <c r="AI889" s="1"/>
    </row>
    <row r="890" spans="35:35" x14ac:dyDescent="0.25">
      <c r="AI890" s="1"/>
    </row>
    <row r="891" spans="35:35" x14ac:dyDescent="0.25">
      <c r="AI891" s="1"/>
    </row>
    <row r="892" spans="35:35" x14ac:dyDescent="0.25">
      <c r="AI892" s="1"/>
    </row>
    <row r="893" spans="35:35" x14ac:dyDescent="0.25">
      <c r="AI893" s="1"/>
    </row>
    <row r="894" spans="35:35" x14ac:dyDescent="0.25">
      <c r="AI894" s="1"/>
    </row>
    <row r="895" spans="35:35" x14ac:dyDescent="0.25">
      <c r="AI895" s="1"/>
    </row>
    <row r="896" spans="35:35" x14ac:dyDescent="0.25">
      <c r="AI896" s="1"/>
    </row>
    <row r="897" spans="35:35" x14ac:dyDescent="0.25">
      <c r="AI897" s="1"/>
    </row>
    <row r="898" spans="35:35" x14ac:dyDescent="0.25">
      <c r="AI898" s="1"/>
    </row>
    <row r="899" spans="35:35" x14ac:dyDescent="0.25">
      <c r="AI899" s="1"/>
    </row>
    <row r="900" spans="35:35" x14ac:dyDescent="0.25">
      <c r="AI900" s="1"/>
    </row>
    <row r="901" spans="35:35" x14ac:dyDescent="0.25">
      <c r="AI901" s="1"/>
    </row>
    <row r="902" spans="35:35" x14ac:dyDescent="0.25">
      <c r="AI902" s="1"/>
    </row>
    <row r="903" spans="35:35" x14ac:dyDescent="0.25">
      <c r="AI903" s="1"/>
    </row>
    <row r="904" spans="35:35" x14ac:dyDescent="0.25">
      <c r="AI904" s="1"/>
    </row>
    <row r="905" spans="35:35" x14ac:dyDescent="0.25">
      <c r="AI905" s="1"/>
    </row>
    <row r="906" spans="35:35" x14ac:dyDescent="0.25">
      <c r="AI906" s="1"/>
    </row>
    <row r="907" spans="35:35" x14ac:dyDescent="0.25">
      <c r="AI907" s="1"/>
    </row>
    <row r="908" spans="35:35" x14ac:dyDescent="0.25">
      <c r="AI908" s="1"/>
    </row>
    <row r="909" spans="35:35" x14ac:dyDescent="0.25">
      <c r="AI909" s="1"/>
    </row>
    <row r="910" spans="35:35" x14ac:dyDescent="0.25">
      <c r="AI910" s="1"/>
    </row>
    <row r="911" spans="35:35" x14ac:dyDescent="0.25">
      <c r="AI911" s="1"/>
    </row>
    <row r="912" spans="35:35" x14ac:dyDescent="0.25">
      <c r="AI912" s="1"/>
    </row>
    <row r="913" spans="35:35" x14ac:dyDescent="0.25">
      <c r="AI913" s="1"/>
    </row>
    <row r="914" spans="35:35" x14ac:dyDescent="0.25">
      <c r="AI914" s="1"/>
    </row>
    <row r="915" spans="35:35" x14ac:dyDescent="0.25">
      <c r="AI915" s="1"/>
    </row>
    <row r="916" spans="35:35" x14ac:dyDescent="0.25">
      <c r="AI916" s="1"/>
    </row>
    <row r="917" spans="35:35" x14ac:dyDescent="0.25">
      <c r="AI917" s="1"/>
    </row>
    <row r="918" spans="35:35" x14ac:dyDescent="0.25">
      <c r="AI918" s="1"/>
    </row>
    <row r="919" spans="35:35" x14ac:dyDescent="0.25">
      <c r="AI919" s="1"/>
    </row>
    <row r="920" spans="35:35" x14ac:dyDescent="0.25">
      <c r="AI920" s="1"/>
    </row>
    <row r="921" spans="35:35" x14ac:dyDescent="0.25">
      <c r="AI921" s="1"/>
    </row>
    <row r="922" spans="35:35" x14ac:dyDescent="0.25">
      <c r="AI922" s="1"/>
    </row>
    <row r="923" spans="35:35" x14ac:dyDescent="0.25">
      <c r="AI923" s="1"/>
    </row>
    <row r="924" spans="35:35" x14ac:dyDescent="0.25">
      <c r="AI924" s="1"/>
    </row>
    <row r="925" spans="35:35" x14ac:dyDescent="0.25">
      <c r="AI925" s="1"/>
    </row>
    <row r="926" spans="35:35" x14ac:dyDescent="0.25">
      <c r="AI926" s="1"/>
    </row>
    <row r="927" spans="35:35" x14ac:dyDescent="0.25">
      <c r="AI927" s="1"/>
    </row>
    <row r="928" spans="35:35" x14ac:dyDescent="0.25">
      <c r="AI928" s="1"/>
    </row>
    <row r="929" spans="35:35" x14ac:dyDescent="0.25">
      <c r="AI929" s="1"/>
    </row>
    <row r="930" spans="35:35" x14ac:dyDescent="0.25">
      <c r="AI930" s="1"/>
    </row>
    <row r="931" spans="35:35" x14ac:dyDescent="0.25">
      <c r="AI931" s="1"/>
    </row>
    <row r="932" spans="35:35" x14ac:dyDescent="0.25">
      <c r="AI932" s="1"/>
    </row>
    <row r="933" spans="35:35" x14ac:dyDescent="0.25">
      <c r="AI933" s="1"/>
    </row>
    <row r="934" spans="35:35" x14ac:dyDescent="0.25">
      <c r="AI934" s="1"/>
    </row>
    <row r="935" spans="35:35" x14ac:dyDescent="0.25">
      <c r="AI935" s="1"/>
    </row>
    <row r="936" spans="35:35" x14ac:dyDescent="0.25">
      <c r="AI936" s="1"/>
    </row>
    <row r="937" spans="35:35" x14ac:dyDescent="0.25">
      <c r="AI937" s="1"/>
    </row>
    <row r="938" spans="35:35" x14ac:dyDescent="0.25">
      <c r="AI938" s="1"/>
    </row>
    <row r="939" spans="35:35" x14ac:dyDescent="0.25">
      <c r="AI939" s="1"/>
    </row>
    <row r="940" spans="35:35" x14ac:dyDescent="0.25">
      <c r="AI940" s="1"/>
    </row>
    <row r="941" spans="35:35" x14ac:dyDescent="0.25">
      <c r="AI941" s="1"/>
    </row>
    <row r="942" spans="35:35" x14ac:dyDescent="0.25">
      <c r="AI942" s="1"/>
    </row>
    <row r="943" spans="35:35" x14ac:dyDescent="0.25">
      <c r="AI943" s="1"/>
    </row>
    <row r="944" spans="35:35" x14ac:dyDescent="0.25">
      <c r="AI944" s="1"/>
    </row>
    <row r="945" spans="35:35" x14ac:dyDescent="0.25">
      <c r="AI945" s="1"/>
    </row>
    <row r="946" spans="35:35" x14ac:dyDescent="0.25">
      <c r="AI946" s="1"/>
    </row>
    <row r="947" spans="35:35" x14ac:dyDescent="0.25">
      <c r="AI947" s="1"/>
    </row>
    <row r="948" spans="35:35" x14ac:dyDescent="0.25">
      <c r="AI948" s="1"/>
    </row>
    <row r="949" spans="35:35" x14ac:dyDescent="0.25">
      <c r="AI949" s="1"/>
    </row>
    <row r="950" spans="35:35" x14ac:dyDescent="0.25">
      <c r="AI950" s="1"/>
    </row>
    <row r="951" spans="35:35" x14ac:dyDescent="0.25">
      <c r="AI951" s="1"/>
    </row>
    <row r="952" spans="35:35" x14ac:dyDescent="0.25">
      <c r="AI952" s="1"/>
    </row>
    <row r="953" spans="35:35" x14ac:dyDescent="0.25">
      <c r="AI953" s="1"/>
    </row>
    <row r="954" spans="35:35" x14ac:dyDescent="0.25">
      <c r="AI954" s="1"/>
    </row>
    <row r="955" spans="35:35" x14ac:dyDescent="0.25">
      <c r="AI955" s="1"/>
    </row>
    <row r="956" spans="35:35" x14ac:dyDescent="0.25">
      <c r="AI956" s="1"/>
    </row>
    <row r="957" spans="35:35" x14ac:dyDescent="0.25">
      <c r="AI957" s="1"/>
    </row>
    <row r="958" spans="35:35" x14ac:dyDescent="0.25">
      <c r="AI958" s="1"/>
    </row>
    <row r="959" spans="35:35" x14ac:dyDescent="0.25">
      <c r="AI959" s="1"/>
    </row>
    <row r="960" spans="35:35" x14ac:dyDescent="0.25">
      <c r="AI960" s="1"/>
    </row>
    <row r="961" spans="35:35" x14ac:dyDescent="0.25">
      <c r="AI961" s="1"/>
    </row>
    <row r="962" spans="35:35" x14ac:dyDescent="0.25">
      <c r="AI962" s="1"/>
    </row>
  </sheetData>
  <sortState ref="AI5:AI25">
    <sortCondition ref="AI5:AI25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558D-0456-4D4D-B403-C1985976E4EA}">
  <sheetPr codeName="Sheet2"/>
  <dimension ref="B4:M102"/>
  <sheetViews>
    <sheetView topLeftCell="A3" workbookViewId="0">
      <selection activeCell="B4" sqref="B4:M149"/>
    </sheetView>
  </sheetViews>
  <sheetFormatPr defaultRowHeight="15" x14ac:dyDescent="0.25"/>
  <cols>
    <col min="2" max="2" width="12.7109375" bestFit="1" customWidth="1"/>
    <col min="3" max="3" width="13" bestFit="1" customWidth="1"/>
    <col min="4" max="4" width="17.7109375" bestFit="1" customWidth="1"/>
    <col min="5" max="5" width="26.28515625" bestFit="1" customWidth="1"/>
    <col min="6" max="6" width="23.7109375" bestFit="1" customWidth="1"/>
    <col min="7" max="7" width="13.5703125" bestFit="1" customWidth="1"/>
    <col min="8" max="8" width="21" bestFit="1" customWidth="1"/>
    <col min="9" max="9" width="17.7109375" bestFit="1" customWidth="1"/>
    <col min="10" max="10" width="26.28515625" bestFit="1" customWidth="1"/>
    <col min="11" max="11" width="23.7109375" bestFit="1" customWidth="1"/>
    <col min="12" max="12" width="13.5703125" bestFit="1" customWidth="1"/>
    <col min="13" max="13" width="21" bestFit="1" customWidth="1"/>
    <col min="14" max="14" width="12" bestFit="1" customWidth="1"/>
    <col min="15" max="15" width="13.28515625" bestFit="1" customWidth="1"/>
    <col min="16" max="16" width="12" bestFit="1" customWidth="1"/>
    <col min="17" max="17" width="13.28515625" bestFit="1" customWidth="1"/>
    <col min="18" max="18" width="21" bestFit="1" customWidth="1"/>
    <col min="19" max="19" width="17.7109375" bestFit="1" customWidth="1"/>
    <col min="20" max="20" width="26.28515625" bestFit="1" customWidth="1"/>
    <col min="21" max="21" width="27.42578125" bestFit="1" customWidth="1"/>
    <col min="22" max="22" width="23.7109375" bestFit="1" customWidth="1"/>
    <col min="23" max="23" width="21.28515625" bestFit="1" customWidth="1"/>
    <col min="24" max="24" width="13.5703125" bestFit="1" customWidth="1"/>
    <col min="25" max="25" width="12.28515625" bestFit="1" customWidth="1"/>
    <col min="26" max="26" width="13.7109375" bestFit="1" customWidth="1"/>
    <col min="27" max="28" width="21.42578125" bestFit="1" customWidth="1"/>
    <col min="29" max="29" width="12" bestFit="1" customWidth="1"/>
    <col min="30" max="30" width="13.28515625" bestFit="1" customWidth="1"/>
    <col min="31" max="31" width="12" bestFit="1" customWidth="1"/>
    <col min="32" max="32" width="13.28515625" bestFit="1" customWidth="1"/>
    <col min="33" max="33" width="21" bestFit="1" customWidth="1"/>
    <col min="34" max="34" width="14.28515625" bestFit="1" customWidth="1"/>
    <col min="35" max="35" width="14.5703125" bestFit="1" customWidth="1"/>
    <col min="36" max="36" width="16.5703125" bestFit="1" customWidth="1"/>
    <col min="37" max="37" width="25.140625" bestFit="1" customWidth="1"/>
    <col min="38" max="38" width="26.28515625" bestFit="1" customWidth="1"/>
    <col min="39" max="39" width="22.42578125" bestFit="1" customWidth="1"/>
    <col min="40" max="40" width="20.140625" bestFit="1" customWidth="1"/>
    <col min="41" max="41" width="12.42578125" bestFit="1" customWidth="1"/>
    <col min="42" max="42" width="11.140625" bestFit="1" customWidth="1"/>
    <col min="43" max="43" width="12.7109375" bestFit="1" customWidth="1"/>
    <col min="44" max="45" width="20.28515625" bestFit="1" customWidth="1"/>
    <col min="46" max="46" width="10.85546875" bestFit="1" customWidth="1"/>
    <col min="47" max="47" width="12.140625" bestFit="1" customWidth="1"/>
    <col min="48" max="48" width="10.85546875" bestFit="1" customWidth="1"/>
    <col min="49" max="49" width="12.140625" bestFit="1" customWidth="1"/>
    <col min="50" max="50" width="19.85546875" bestFit="1" customWidth="1"/>
    <col min="51" max="51" width="14.28515625" bestFit="1" customWidth="1"/>
    <col min="52" max="52" width="14.5703125" bestFit="1" customWidth="1"/>
    <col min="53" max="53" width="14.85546875" bestFit="1" customWidth="1"/>
    <col min="54" max="54" width="23.42578125" bestFit="1" customWidth="1"/>
    <col min="55" max="55" width="24.7109375" bestFit="1" customWidth="1"/>
    <col min="56" max="56" width="20.85546875" bestFit="1" customWidth="1"/>
    <col min="57" max="57" width="18.42578125" bestFit="1" customWidth="1"/>
    <col min="58" max="58" width="10.85546875" bestFit="1" customWidth="1"/>
    <col min="59" max="59" width="9.5703125" bestFit="1" customWidth="1"/>
    <col min="60" max="60" width="12.7109375" bestFit="1" customWidth="1"/>
    <col min="61" max="62" width="18.5703125" bestFit="1" customWidth="1"/>
    <col min="63" max="63" width="9.28515625" bestFit="1" customWidth="1"/>
    <col min="64" max="64" width="10.5703125" bestFit="1" customWidth="1"/>
    <col min="65" max="65" width="9.28515625" bestFit="1" customWidth="1"/>
    <col min="66" max="66" width="10.5703125" bestFit="1" customWidth="1"/>
    <col min="67" max="67" width="18.140625" bestFit="1" customWidth="1"/>
  </cols>
  <sheetData>
    <row r="4" spans="2:13" x14ac:dyDescent="0.25">
      <c r="B4" t="s">
        <v>3</v>
      </c>
      <c r="C4" s="1" t="s">
        <v>4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5</v>
      </c>
      <c r="J4" t="s">
        <v>6</v>
      </c>
      <c r="K4" t="s">
        <v>7</v>
      </c>
      <c r="L4" t="s">
        <v>8</v>
      </c>
      <c r="M4" t="s">
        <v>9</v>
      </c>
    </row>
    <row r="5" spans="2:13" x14ac:dyDescent="0.25">
      <c r="B5">
        <v>29000</v>
      </c>
      <c r="C5" s="1">
        <v>44812</v>
      </c>
      <c r="D5">
        <v>1</v>
      </c>
      <c r="E5">
        <v>0</v>
      </c>
      <c r="F5">
        <v>0</v>
      </c>
      <c r="G5">
        <v>0</v>
      </c>
      <c r="H5">
        <v>40224.15</v>
      </c>
      <c r="I5">
        <v>62230</v>
      </c>
      <c r="J5">
        <v>16002</v>
      </c>
      <c r="K5">
        <v>153982</v>
      </c>
      <c r="L5">
        <v>0.45</v>
      </c>
      <c r="M5">
        <v>40224.15</v>
      </c>
    </row>
    <row r="6" spans="2:13" x14ac:dyDescent="0.25">
      <c r="B6">
        <v>29500</v>
      </c>
      <c r="C6" s="1">
        <v>44812</v>
      </c>
      <c r="D6">
        <v>2</v>
      </c>
      <c r="E6">
        <v>0</v>
      </c>
      <c r="F6">
        <v>0</v>
      </c>
      <c r="G6">
        <v>0</v>
      </c>
      <c r="H6">
        <v>40224.15</v>
      </c>
      <c r="I6">
        <v>9160</v>
      </c>
      <c r="J6">
        <v>6243</v>
      </c>
      <c r="K6">
        <v>44549</v>
      </c>
      <c r="L6">
        <v>0.6</v>
      </c>
      <c r="M6">
        <v>40224.15</v>
      </c>
    </row>
    <row r="7" spans="2:13" x14ac:dyDescent="0.25">
      <c r="B7">
        <v>30000</v>
      </c>
      <c r="C7" s="1">
        <v>44812</v>
      </c>
      <c r="D7">
        <v>0</v>
      </c>
      <c r="E7">
        <v>0</v>
      </c>
      <c r="F7">
        <v>0</v>
      </c>
      <c r="G7">
        <v>0</v>
      </c>
      <c r="H7">
        <v>40224.15</v>
      </c>
      <c r="I7">
        <v>4943</v>
      </c>
      <c r="J7">
        <v>2112</v>
      </c>
      <c r="K7">
        <v>26996</v>
      </c>
      <c r="L7">
        <v>0.65</v>
      </c>
      <c r="M7">
        <v>40224.15</v>
      </c>
    </row>
    <row r="8" spans="2:13" x14ac:dyDescent="0.25">
      <c r="B8">
        <v>30500</v>
      </c>
      <c r="C8" s="1">
        <v>44812</v>
      </c>
      <c r="D8">
        <v>0</v>
      </c>
      <c r="E8">
        <v>0</v>
      </c>
      <c r="F8">
        <v>0</v>
      </c>
      <c r="G8">
        <v>0</v>
      </c>
      <c r="H8">
        <v>40224.15</v>
      </c>
      <c r="I8">
        <v>1483</v>
      </c>
      <c r="J8">
        <v>183</v>
      </c>
      <c r="K8">
        <v>19886</v>
      </c>
      <c r="L8">
        <v>0.6</v>
      </c>
      <c r="M8">
        <v>40224.15</v>
      </c>
    </row>
    <row r="9" spans="2:13" x14ac:dyDescent="0.25">
      <c r="B9">
        <v>31000</v>
      </c>
      <c r="C9" s="1">
        <v>44812</v>
      </c>
      <c r="D9">
        <v>1</v>
      </c>
      <c r="E9">
        <v>0</v>
      </c>
      <c r="F9">
        <v>0</v>
      </c>
      <c r="G9">
        <v>0</v>
      </c>
      <c r="H9">
        <v>40224.15</v>
      </c>
      <c r="I9">
        <v>1954</v>
      </c>
      <c r="J9">
        <v>800</v>
      </c>
      <c r="K9">
        <v>17648</v>
      </c>
      <c r="L9">
        <v>0.55000000000000004</v>
      </c>
      <c r="M9">
        <v>40224.15</v>
      </c>
    </row>
    <row r="10" spans="2:13" x14ac:dyDescent="0.25">
      <c r="B10">
        <v>31500</v>
      </c>
      <c r="C10" s="1">
        <v>44812</v>
      </c>
      <c r="D10">
        <v>0</v>
      </c>
      <c r="E10">
        <v>0</v>
      </c>
      <c r="F10">
        <v>0</v>
      </c>
      <c r="G10">
        <v>0</v>
      </c>
      <c r="H10">
        <v>40224.15</v>
      </c>
      <c r="I10">
        <v>1297</v>
      </c>
      <c r="J10">
        <v>503</v>
      </c>
      <c r="K10">
        <v>12536</v>
      </c>
      <c r="L10">
        <v>0.65</v>
      </c>
      <c r="M10">
        <v>40224.15</v>
      </c>
    </row>
    <row r="11" spans="2:13" x14ac:dyDescent="0.25">
      <c r="B11">
        <v>32000</v>
      </c>
      <c r="C11" s="1">
        <v>44812</v>
      </c>
      <c r="D11">
        <v>0</v>
      </c>
      <c r="E11">
        <v>0</v>
      </c>
      <c r="F11">
        <v>0</v>
      </c>
      <c r="G11">
        <v>0</v>
      </c>
      <c r="H11">
        <v>40224.15</v>
      </c>
      <c r="I11">
        <v>1357</v>
      </c>
      <c r="J11">
        <v>231</v>
      </c>
      <c r="K11">
        <v>9335</v>
      </c>
      <c r="L11">
        <v>0.65</v>
      </c>
      <c r="M11">
        <v>40224.15</v>
      </c>
    </row>
    <row r="12" spans="2:13" x14ac:dyDescent="0.25">
      <c r="B12">
        <v>32500</v>
      </c>
      <c r="C12" s="1">
        <v>44812</v>
      </c>
      <c r="D12">
        <v>0</v>
      </c>
      <c r="E12">
        <v>0</v>
      </c>
      <c r="F12">
        <v>0</v>
      </c>
      <c r="G12">
        <v>0</v>
      </c>
      <c r="H12">
        <v>40224.15</v>
      </c>
      <c r="I12">
        <v>1910</v>
      </c>
      <c r="J12">
        <v>-2</v>
      </c>
      <c r="K12">
        <v>8816</v>
      </c>
      <c r="L12">
        <v>0.6</v>
      </c>
      <c r="M12">
        <v>40224.15</v>
      </c>
    </row>
    <row r="13" spans="2:13" x14ac:dyDescent="0.25">
      <c r="B13">
        <v>33000</v>
      </c>
      <c r="C13" s="1">
        <v>44812</v>
      </c>
      <c r="D13">
        <v>0</v>
      </c>
      <c r="E13">
        <v>0</v>
      </c>
      <c r="F13">
        <v>0</v>
      </c>
      <c r="G13">
        <v>0</v>
      </c>
      <c r="H13">
        <v>40224.15</v>
      </c>
      <c r="I13">
        <v>3695</v>
      </c>
      <c r="J13">
        <v>-1737</v>
      </c>
      <c r="K13">
        <v>18763</v>
      </c>
      <c r="L13">
        <v>0.6</v>
      </c>
      <c r="M13">
        <v>40224.15</v>
      </c>
    </row>
    <row r="14" spans="2:13" x14ac:dyDescent="0.25">
      <c r="B14">
        <v>33500</v>
      </c>
      <c r="C14" s="1">
        <v>44812</v>
      </c>
      <c r="D14">
        <v>23</v>
      </c>
      <c r="E14">
        <v>0</v>
      </c>
      <c r="F14">
        <v>1</v>
      </c>
      <c r="G14">
        <v>6450</v>
      </c>
      <c r="H14">
        <v>40224.15</v>
      </c>
      <c r="I14">
        <v>1299</v>
      </c>
      <c r="J14">
        <v>193</v>
      </c>
      <c r="K14">
        <v>7263</v>
      </c>
      <c r="L14">
        <v>0.8</v>
      </c>
      <c r="M14">
        <v>40224.15</v>
      </c>
    </row>
    <row r="15" spans="2:13" x14ac:dyDescent="0.25">
      <c r="B15">
        <v>33800</v>
      </c>
      <c r="C15" s="1">
        <v>44812</v>
      </c>
      <c r="D15">
        <v>0</v>
      </c>
      <c r="E15">
        <v>0</v>
      </c>
      <c r="F15">
        <v>0</v>
      </c>
      <c r="G15">
        <v>0</v>
      </c>
      <c r="H15">
        <v>40224.15</v>
      </c>
      <c r="I15">
        <v>405</v>
      </c>
      <c r="J15">
        <v>101</v>
      </c>
      <c r="K15">
        <v>2863</v>
      </c>
      <c r="L15">
        <v>0.5</v>
      </c>
      <c r="M15">
        <v>40224.15</v>
      </c>
    </row>
    <row r="16" spans="2:13" x14ac:dyDescent="0.25">
      <c r="B16">
        <v>33900</v>
      </c>
      <c r="C16" s="1">
        <v>44812</v>
      </c>
      <c r="D16">
        <v>0</v>
      </c>
      <c r="E16">
        <v>0</v>
      </c>
      <c r="F16">
        <v>0</v>
      </c>
      <c r="G16">
        <v>0</v>
      </c>
      <c r="H16">
        <v>40224.15</v>
      </c>
      <c r="I16">
        <v>276</v>
      </c>
      <c r="J16">
        <v>109</v>
      </c>
      <c r="K16">
        <v>3528</v>
      </c>
      <c r="L16">
        <v>0.65</v>
      </c>
      <c r="M16">
        <v>40224.15</v>
      </c>
    </row>
    <row r="17" spans="2:13" x14ac:dyDescent="0.25">
      <c r="B17">
        <v>34000</v>
      </c>
      <c r="C17" s="1">
        <v>44812</v>
      </c>
      <c r="D17">
        <v>53</v>
      </c>
      <c r="E17">
        <v>1</v>
      </c>
      <c r="F17">
        <v>7</v>
      </c>
      <c r="G17">
        <v>5859.65</v>
      </c>
      <c r="H17">
        <v>40224.15</v>
      </c>
      <c r="I17">
        <v>6883</v>
      </c>
      <c r="J17">
        <v>-327</v>
      </c>
      <c r="K17">
        <v>33230</v>
      </c>
      <c r="L17">
        <v>0.75</v>
      </c>
      <c r="M17">
        <v>40224.15</v>
      </c>
    </row>
    <row r="18" spans="2:13" x14ac:dyDescent="0.25">
      <c r="B18">
        <v>34100</v>
      </c>
      <c r="C18" s="1">
        <v>44812</v>
      </c>
      <c r="D18">
        <v>2</v>
      </c>
      <c r="E18">
        <v>0</v>
      </c>
      <c r="F18">
        <v>0</v>
      </c>
      <c r="G18">
        <v>0</v>
      </c>
      <c r="H18">
        <v>40224.15</v>
      </c>
      <c r="I18">
        <v>257</v>
      </c>
      <c r="J18">
        <v>110</v>
      </c>
      <c r="K18">
        <v>3299</v>
      </c>
      <c r="L18">
        <v>0.85</v>
      </c>
      <c r="M18">
        <v>40224.15</v>
      </c>
    </row>
    <row r="19" spans="2:13" x14ac:dyDescent="0.25">
      <c r="B19">
        <v>34200</v>
      </c>
      <c r="C19" s="1">
        <v>44812</v>
      </c>
      <c r="D19">
        <v>0</v>
      </c>
      <c r="E19">
        <v>0</v>
      </c>
      <c r="F19">
        <v>0</v>
      </c>
      <c r="G19">
        <v>0</v>
      </c>
      <c r="H19">
        <v>40224.15</v>
      </c>
      <c r="I19">
        <v>111</v>
      </c>
      <c r="J19">
        <v>-67</v>
      </c>
      <c r="K19">
        <v>1217</v>
      </c>
      <c r="L19">
        <v>0.35</v>
      </c>
      <c r="M19">
        <v>40224.15</v>
      </c>
    </row>
    <row r="20" spans="2:13" x14ac:dyDescent="0.25">
      <c r="B20">
        <v>34300</v>
      </c>
      <c r="C20" s="1">
        <v>44812</v>
      </c>
      <c r="D20">
        <v>0</v>
      </c>
      <c r="E20">
        <v>0</v>
      </c>
      <c r="F20">
        <v>0</v>
      </c>
      <c r="G20">
        <v>0</v>
      </c>
      <c r="H20">
        <v>40224.15</v>
      </c>
      <c r="I20">
        <v>213</v>
      </c>
      <c r="J20">
        <v>78</v>
      </c>
      <c r="K20">
        <v>1922</v>
      </c>
      <c r="L20">
        <v>0.85</v>
      </c>
      <c r="M20">
        <v>40224.15</v>
      </c>
    </row>
    <row r="21" spans="2:13" x14ac:dyDescent="0.25">
      <c r="B21">
        <v>34400</v>
      </c>
      <c r="C21" s="1">
        <v>44812</v>
      </c>
      <c r="D21">
        <v>5</v>
      </c>
      <c r="E21">
        <v>0</v>
      </c>
      <c r="F21">
        <v>0</v>
      </c>
      <c r="G21">
        <v>0</v>
      </c>
      <c r="H21">
        <v>40224.15</v>
      </c>
      <c r="I21">
        <v>111</v>
      </c>
      <c r="J21">
        <v>42</v>
      </c>
      <c r="K21">
        <v>1062</v>
      </c>
      <c r="L21">
        <v>0.45</v>
      </c>
      <c r="M21">
        <v>40224.15</v>
      </c>
    </row>
    <row r="22" spans="2:13" x14ac:dyDescent="0.25">
      <c r="B22">
        <v>34500</v>
      </c>
      <c r="C22" s="1">
        <v>44812</v>
      </c>
      <c r="D22">
        <v>149</v>
      </c>
      <c r="E22">
        <v>-40</v>
      </c>
      <c r="F22">
        <v>72</v>
      </c>
      <c r="G22">
        <v>5755</v>
      </c>
      <c r="H22">
        <v>40224.15</v>
      </c>
      <c r="I22">
        <v>1210</v>
      </c>
      <c r="J22">
        <v>-925</v>
      </c>
      <c r="K22">
        <v>11762</v>
      </c>
      <c r="L22">
        <v>0.8</v>
      </c>
      <c r="M22">
        <v>40224.15</v>
      </c>
    </row>
    <row r="23" spans="2:13" x14ac:dyDescent="0.25">
      <c r="B23">
        <v>34600</v>
      </c>
      <c r="C23" s="1">
        <v>44812</v>
      </c>
      <c r="D23">
        <v>0</v>
      </c>
      <c r="E23">
        <v>0</v>
      </c>
      <c r="F23">
        <v>0</v>
      </c>
      <c r="G23">
        <v>0</v>
      </c>
      <c r="H23">
        <v>40224.15</v>
      </c>
      <c r="I23">
        <v>140</v>
      </c>
      <c r="J23">
        <v>-130</v>
      </c>
      <c r="K23">
        <v>1400</v>
      </c>
      <c r="L23">
        <v>0.95</v>
      </c>
      <c r="M23">
        <v>40224.15</v>
      </c>
    </row>
    <row r="24" spans="2:13" x14ac:dyDescent="0.25">
      <c r="B24">
        <v>34700</v>
      </c>
      <c r="C24" s="1">
        <v>44812</v>
      </c>
      <c r="D24">
        <v>0</v>
      </c>
      <c r="E24">
        <v>0</v>
      </c>
      <c r="F24">
        <v>0</v>
      </c>
      <c r="G24">
        <v>0</v>
      </c>
      <c r="H24">
        <v>40224.15</v>
      </c>
      <c r="I24">
        <v>262</v>
      </c>
      <c r="J24">
        <v>136</v>
      </c>
      <c r="K24">
        <v>2010</v>
      </c>
      <c r="L24">
        <v>0.85</v>
      </c>
      <c r="M24">
        <v>40224.15</v>
      </c>
    </row>
    <row r="25" spans="2:13" x14ac:dyDescent="0.25">
      <c r="B25">
        <v>34800</v>
      </c>
      <c r="C25" s="1">
        <v>44812</v>
      </c>
      <c r="D25">
        <v>0</v>
      </c>
      <c r="E25">
        <v>0</v>
      </c>
      <c r="F25">
        <v>0</v>
      </c>
      <c r="G25">
        <v>0</v>
      </c>
      <c r="H25">
        <v>40224.15</v>
      </c>
      <c r="I25">
        <v>195</v>
      </c>
      <c r="J25">
        <v>32</v>
      </c>
      <c r="K25">
        <v>2811</v>
      </c>
      <c r="L25">
        <v>0.6</v>
      </c>
      <c r="M25">
        <v>40224.15</v>
      </c>
    </row>
    <row r="26" spans="2:13" x14ac:dyDescent="0.25">
      <c r="B26">
        <v>34900</v>
      </c>
      <c r="C26" s="1">
        <v>44812</v>
      </c>
      <c r="D26">
        <v>0</v>
      </c>
      <c r="E26">
        <v>0</v>
      </c>
      <c r="F26">
        <v>0</v>
      </c>
      <c r="G26">
        <v>0</v>
      </c>
      <c r="H26">
        <v>40224.15</v>
      </c>
      <c r="I26">
        <v>278</v>
      </c>
      <c r="J26">
        <v>136</v>
      </c>
      <c r="K26">
        <v>2415</v>
      </c>
      <c r="L26">
        <v>0.85</v>
      </c>
      <c r="M26">
        <v>40224.15</v>
      </c>
    </row>
    <row r="27" spans="2:13" x14ac:dyDescent="0.25">
      <c r="B27">
        <v>35000</v>
      </c>
      <c r="C27" s="1">
        <v>44812</v>
      </c>
      <c r="D27">
        <v>84</v>
      </c>
      <c r="E27">
        <v>0</v>
      </c>
      <c r="F27">
        <v>39</v>
      </c>
      <c r="G27">
        <v>5220</v>
      </c>
      <c r="H27">
        <v>40224.15</v>
      </c>
      <c r="I27">
        <v>7989</v>
      </c>
      <c r="J27">
        <v>-6468</v>
      </c>
      <c r="K27">
        <v>62375</v>
      </c>
      <c r="L27">
        <v>0.9</v>
      </c>
      <c r="M27">
        <v>40224.15</v>
      </c>
    </row>
    <row r="28" spans="2:13" x14ac:dyDescent="0.25">
      <c r="B28">
        <v>35100</v>
      </c>
      <c r="C28" s="1">
        <v>44812</v>
      </c>
      <c r="D28">
        <v>0</v>
      </c>
      <c r="E28">
        <v>0</v>
      </c>
      <c r="F28">
        <v>0</v>
      </c>
      <c r="G28">
        <v>0</v>
      </c>
      <c r="H28">
        <v>40224.15</v>
      </c>
      <c r="I28">
        <v>178</v>
      </c>
      <c r="J28">
        <v>-107</v>
      </c>
      <c r="K28">
        <v>2831</v>
      </c>
      <c r="L28">
        <v>1.55</v>
      </c>
      <c r="M28">
        <v>40224.15</v>
      </c>
    </row>
    <row r="29" spans="2:13" x14ac:dyDescent="0.25">
      <c r="B29">
        <v>35200</v>
      </c>
      <c r="C29" s="1">
        <v>44812</v>
      </c>
      <c r="D29">
        <v>0</v>
      </c>
      <c r="E29">
        <v>0</v>
      </c>
      <c r="F29">
        <v>0</v>
      </c>
      <c r="G29">
        <v>0</v>
      </c>
      <c r="H29">
        <v>40224.15</v>
      </c>
      <c r="I29">
        <v>516</v>
      </c>
      <c r="J29">
        <v>111</v>
      </c>
      <c r="K29">
        <v>3808</v>
      </c>
      <c r="L29">
        <v>1.05</v>
      </c>
      <c r="M29">
        <v>40224.15</v>
      </c>
    </row>
    <row r="30" spans="2:13" x14ac:dyDescent="0.25">
      <c r="B30">
        <v>35300</v>
      </c>
      <c r="C30" s="1">
        <v>44812</v>
      </c>
      <c r="D30">
        <v>0</v>
      </c>
      <c r="E30">
        <v>0</v>
      </c>
      <c r="F30">
        <v>0</v>
      </c>
      <c r="G30">
        <v>0</v>
      </c>
      <c r="H30">
        <v>40224.15</v>
      </c>
      <c r="I30">
        <v>342</v>
      </c>
      <c r="J30">
        <v>72</v>
      </c>
      <c r="K30">
        <v>3589</v>
      </c>
      <c r="L30">
        <v>0.95</v>
      </c>
      <c r="M30">
        <v>40224.15</v>
      </c>
    </row>
    <row r="31" spans="2:13" x14ac:dyDescent="0.25">
      <c r="B31">
        <v>35400</v>
      </c>
      <c r="C31" s="1">
        <v>44812</v>
      </c>
      <c r="D31">
        <v>0</v>
      </c>
      <c r="E31">
        <v>0</v>
      </c>
      <c r="F31">
        <v>0</v>
      </c>
      <c r="G31">
        <v>0</v>
      </c>
      <c r="H31">
        <v>40224.15</v>
      </c>
      <c r="I31">
        <v>549</v>
      </c>
      <c r="J31">
        <v>204</v>
      </c>
      <c r="K31">
        <v>3542</v>
      </c>
      <c r="L31">
        <v>0.75</v>
      </c>
      <c r="M31">
        <v>40224.15</v>
      </c>
    </row>
    <row r="32" spans="2:13" x14ac:dyDescent="0.25">
      <c r="B32">
        <v>35500</v>
      </c>
      <c r="C32" s="1">
        <v>44812</v>
      </c>
      <c r="D32">
        <v>63</v>
      </c>
      <c r="E32">
        <v>-7</v>
      </c>
      <c r="F32">
        <v>63</v>
      </c>
      <c r="G32">
        <v>4666.75</v>
      </c>
      <c r="H32">
        <v>40224.15</v>
      </c>
      <c r="I32">
        <v>7632</v>
      </c>
      <c r="J32">
        <v>-6346</v>
      </c>
      <c r="K32">
        <v>56777</v>
      </c>
      <c r="L32">
        <v>0.9</v>
      </c>
      <c r="M32">
        <v>40224.15</v>
      </c>
    </row>
    <row r="33" spans="2:13" x14ac:dyDescent="0.25">
      <c r="B33">
        <v>35600</v>
      </c>
      <c r="C33" s="1">
        <v>44812</v>
      </c>
      <c r="D33">
        <v>0</v>
      </c>
      <c r="E33">
        <v>0</v>
      </c>
      <c r="F33">
        <v>0</v>
      </c>
      <c r="G33">
        <v>0</v>
      </c>
      <c r="H33">
        <v>40224.15</v>
      </c>
      <c r="I33">
        <v>576</v>
      </c>
      <c r="J33">
        <v>101</v>
      </c>
      <c r="K33">
        <v>4413</v>
      </c>
      <c r="L33">
        <v>0.9</v>
      </c>
      <c r="M33">
        <v>40224.15</v>
      </c>
    </row>
    <row r="34" spans="2:13" x14ac:dyDescent="0.25">
      <c r="B34">
        <v>35700</v>
      </c>
      <c r="C34" s="1">
        <v>44812</v>
      </c>
      <c r="D34">
        <v>2</v>
      </c>
      <c r="E34">
        <v>0</v>
      </c>
      <c r="F34">
        <v>0</v>
      </c>
      <c r="G34">
        <v>0</v>
      </c>
      <c r="H34">
        <v>40224.15</v>
      </c>
      <c r="I34">
        <v>561</v>
      </c>
      <c r="J34">
        <v>81</v>
      </c>
      <c r="K34">
        <v>4006</v>
      </c>
      <c r="L34">
        <v>1</v>
      </c>
      <c r="M34">
        <v>40224.15</v>
      </c>
    </row>
    <row r="35" spans="2:13" x14ac:dyDescent="0.25">
      <c r="B35">
        <v>35800</v>
      </c>
      <c r="C35" s="1">
        <v>44812</v>
      </c>
      <c r="D35">
        <v>2</v>
      </c>
      <c r="E35">
        <v>0</v>
      </c>
      <c r="F35">
        <v>0</v>
      </c>
      <c r="G35">
        <v>0</v>
      </c>
      <c r="H35">
        <v>40224.15</v>
      </c>
      <c r="I35">
        <v>1113</v>
      </c>
      <c r="J35">
        <v>260</v>
      </c>
      <c r="K35">
        <v>7465</v>
      </c>
      <c r="L35">
        <v>0.95</v>
      </c>
      <c r="M35">
        <v>40224.15</v>
      </c>
    </row>
    <row r="36" spans="2:13" x14ac:dyDescent="0.25">
      <c r="B36">
        <v>35900</v>
      </c>
      <c r="C36" s="1">
        <v>44812</v>
      </c>
      <c r="D36">
        <v>2</v>
      </c>
      <c r="E36">
        <v>2</v>
      </c>
      <c r="F36">
        <v>4</v>
      </c>
      <c r="G36">
        <v>4140</v>
      </c>
      <c r="H36">
        <v>40224.15</v>
      </c>
      <c r="I36">
        <v>530</v>
      </c>
      <c r="J36">
        <v>-41</v>
      </c>
      <c r="K36">
        <v>6725</v>
      </c>
      <c r="L36">
        <v>0.9</v>
      </c>
      <c r="M36">
        <v>40224.15</v>
      </c>
    </row>
    <row r="37" spans="2:13" x14ac:dyDescent="0.25">
      <c r="B37">
        <v>36000</v>
      </c>
      <c r="C37" s="1">
        <v>44812</v>
      </c>
      <c r="D37">
        <v>105</v>
      </c>
      <c r="E37">
        <v>-26</v>
      </c>
      <c r="F37">
        <v>103</v>
      </c>
      <c r="G37">
        <v>4238.45</v>
      </c>
      <c r="H37">
        <v>40224.15</v>
      </c>
      <c r="I37">
        <v>20737</v>
      </c>
      <c r="J37">
        <v>-7319</v>
      </c>
      <c r="K37">
        <v>148655</v>
      </c>
      <c r="L37">
        <v>1.05</v>
      </c>
      <c r="M37">
        <v>40224.15</v>
      </c>
    </row>
    <row r="38" spans="2:13" x14ac:dyDescent="0.25">
      <c r="B38">
        <v>36100</v>
      </c>
      <c r="C38" s="1">
        <v>44812</v>
      </c>
      <c r="D38">
        <v>2</v>
      </c>
      <c r="E38">
        <v>0</v>
      </c>
      <c r="F38">
        <v>0</v>
      </c>
      <c r="G38">
        <v>0</v>
      </c>
      <c r="H38">
        <v>40224.15</v>
      </c>
      <c r="I38">
        <v>1318</v>
      </c>
      <c r="J38">
        <v>319</v>
      </c>
      <c r="K38">
        <v>9587</v>
      </c>
      <c r="L38">
        <v>1</v>
      </c>
      <c r="M38">
        <v>40224.15</v>
      </c>
    </row>
    <row r="39" spans="2:13" x14ac:dyDescent="0.25">
      <c r="B39">
        <v>36200</v>
      </c>
      <c r="C39" s="1">
        <v>44812</v>
      </c>
      <c r="D39">
        <v>4</v>
      </c>
      <c r="E39">
        <v>0</v>
      </c>
      <c r="F39">
        <v>0</v>
      </c>
      <c r="G39">
        <v>0</v>
      </c>
      <c r="H39">
        <v>40224.15</v>
      </c>
      <c r="I39">
        <v>2696</v>
      </c>
      <c r="J39">
        <v>140</v>
      </c>
      <c r="K39">
        <v>11326</v>
      </c>
      <c r="L39">
        <v>0.95</v>
      </c>
      <c r="M39">
        <v>40224.15</v>
      </c>
    </row>
    <row r="40" spans="2:13" x14ac:dyDescent="0.25">
      <c r="B40">
        <v>36300</v>
      </c>
      <c r="C40" s="1">
        <v>44812</v>
      </c>
      <c r="D40">
        <v>24</v>
      </c>
      <c r="E40">
        <v>-12</v>
      </c>
      <c r="F40">
        <v>44</v>
      </c>
      <c r="G40">
        <v>4048.8</v>
      </c>
      <c r="H40">
        <v>40224.15</v>
      </c>
      <c r="I40">
        <v>1165</v>
      </c>
      <c r="J40">
        <v>-991</v>
      </c>
      <c r="K40">
        <v>12501</v>
      </c>
      <c r="L40">
        <v>0.95</v>
      </c>
      <c r="M40">
        <v>40224.15</v>
      </c>
    </row>
    <row r="41" spans="2:13" x14ac:dyDescent="0.25">
      <c r="B41">
        <v>36400</v>
      </c>
      <c r="C41" s="1">
        <v>44812</v>
      </c>
      <c r="D41">
        <v>8</v>
      </c>
      <c r="E41">
        <v>0</v>
      </c>
      <c r="F41">
        <v>0</v>
      </c>
      <c r="G41">
        <v>0</v>
      </c>
      <c r="H41">
        <v>40224.15</v>
      </c>
      <c r="I41">
        <v>1117</v>
      </c>
      <c r="J41">
        <v>-211</v>
      </c>
      <c r="K41">
        <v>11291</v>
      </c>
      <c r="L41">
        <v>0.9</v>
      </c>
      <c r="M41">
        <v>40224.15</v>
      </c>
    </row>
    <row r="42" spans="2:13" x14ac:dyDescent="0.25">
      <c r="B42">
        <v>36500</v>
      </c>
      <c r="C42" s="1">
        <v>44812</v>
      </c>
      <c r="D42">
        <v>142</v>
      </c>
      <c r="E42">
        <v>-21</v>
      </c>
      <c r="F42">
        <v>94</v>
      </c>
      <c r="G42">
        <v>3739.5</v>
      </c>
      <c r="H42">
        <v>40224.15</v>
      </c>
      <c r="I42">
        <v>18189</v>
      </c>
      <c r="J42">
        <v>-1665</v>
      </c>
      <c r="K42">
        <v>153324</v>
      </c>
      <c r="L42">
        <v>0.85</v>
      </c>
      <c r="M42">
        <v>40224.15</v>
      </c>
    </row>
    <row r="43" spans="2:13" x14ac:dyDescent="0.25">
      <c r="B43">
        <v>36600</v>
      </c>
      <c r="C43" s="1">
        <v>44812</v>
      </c>
      <c r="D43">
        <v>0</v>
      </c>
      <c r="E43">
        <v>0</v>
      </c>
      <c r="F43">
        <v>0</v>
      </c>
      <c r="G43">
        <v>0</v>
      </c>
      <c r="H43">
        <v>40224.15</v>
      </c>
      <c r="I43">
        <v>1454</v>
      </c>
      <c r="J43">
        <v>21</v>
      </c>
      <c r="K43">
        <v>18068</v>
      </c>
      <c r="L43">
        <v>0.85</v>
      </c>
      <c r="M43">
        <v>40224.15</v>
      </c>
    </row>
    <row r="44" spans="2:13" x14ac:dyDescent="0.25">
      <c r="B44">
        <v>36700</v>
      </c>
      <c r="C44" s="1">
        <v>44812</v>
      </c>
      <c r="D44">
        <v>8</v>
      </c>
      <c r="E44">
        <v>-1</v>
      </c>
      <c r="F44">
        <v>4</v>
      </c>
      <c r="G44">
        <v>3230</v>
      </c>
      <c r="H44">
        <v>40224.15</v>
      </c>
      <c r="I44">
        <v>1599</v>
      </c>
      <c r="J44">
        <v>-282</v>
      </c>
      <c r="K44">
        <v>15779</v>
      </c>
      <c r="L44">
        <v>0.75</v>
      </c>
      <c r="M44">
        <v>40224.15</v>
      </c>
    </row>
    <row r="45" spans="2:13" x14ac:dyDescent="0.25">
      <c r="B45">
        <v>36800</v>
      </c>
      <c r="C45" s="1">
        <v>44812</v>
      </c>
      <c r="D45">
        <v>10</v>
      </c>
      <c r="E45">
        <v>0</v>
      </c>
      <c r="F45">
        <v>0</v>
      </c>
      <c r="G45">
        <v>0</v>
      </c>
      <c r="H45">
        <v>40224.15</v>
      </c>
      <c r="I45">
        <v>4692</v>
      </c>
      <c r="J45">
        <v>-314</v>
      </c>
      <c r="K45">
        <v>23369</v>
      </c>
      <c r="L45">
        <v>0.9</v>
      </c>
      <c r="M45">
        <v>40224.15</v>
      </c>
    </row>
    <row r="46" spans="2:13" x14ac:dyDescent="0.25">
      <c r="B46">
        <v>36900</v>
      </c>
      <c r="C46" s="1">
        <v>44812</v>
      </c>
      <c r="D46">
        <v>13</v>
      </c>
      <c r="E46">
        <v>0</v>
      </c>
      <c r="F46">
        <v>2</v>
      </c>
      <c r="G46">
        <v>3275</v>
      </c>
      <c r="H46">
        <v>40224.15</v>
      </c>
      <c r="I46">
        <v>2481</v>
      </c>
      <c r="J46">
        <v>-272</v>
      </c>
      <c r="K46">
        <v>32053</v>
      </c>
      <c r="L46">
        <v>0.85</v>
      </c>
      <c r="M46">
        <v>40224.15</v>
      </c>
    </row>
    <row r="47" spans="2:13" x14ac:dyDescent="0.25">
      <c r="B47">
        <v>37000</v>
      </c>
      <c r="C47" s="1">
        <v>44812</v>
      </c>
      <c r="D47">
        <v>350</v>
      </c>
      <c r="E47">
        <v>-186</v>
      </c>
      <c r="F47">
        <v>586</v>
      </c>
      <c r="G47">
        <v>3235</v>
      </c>
      <c r="H47">
        <v>40224.15</v>
      </c>
      <c r="I47">
        <v>52712</v>
      </c>
      <c r="J47">
        <v>1615</v>
      </c>
      <c r="K47">
        <v>414092</v>
      </c>
      <c r="L47">
        <v>0.85</v>
      </c>
      <c r="M47">
        <v>40224.15</v>
      </c>
    </row>
    <row r="48" spans="2:13" x14ac:dyDescent="0.25">
      <c r="B48">
        <v>37100</v>
      </c>
      <c r="C48" s="1">
        <v>44812</v>
      </c>
      <c r="D48">
        <v>59</v>
      </c>
      <c r="E48">
        <v>0</v>
      </c>
      <c r="F48">
        <v>0</v>
      </c>
      <c r="G48">
        <v>0</v>
      </c>
      <c r="H48">
        <v>40224.15</v>
      </c>
      <c r="I48">
        <v>4560</v>
      </c>
      <c r="J48">
        <v>605</v>
      </c>
      <c r="K48">
        <v>36611</v>
      </c>
      <c r="L48">
        <v>0.85</v>
      </c>
      <c r="M48">
        <v>40224.15</v>
      </c>
    </row>
    <row r="49" spans="2:13" x14ac:dyDescent="0.25">
      <c r="B49">
        <v>37200</v>
      </c>
      <c r="C49" s="1">
        <v>44812</v>
      </c>
      <c r="D49">
        <v>88</v>
      </c>
      <c r="E49">
        <v>-1</v>
      </c>
      <c r="F49">
        <v>12</v>
      </c>
      <c r="G49">
        <v>2991</v>
      </c>
      <c r="H49">
        <v>40224.15</v>
      </c>
      <c r="I49">
        <v>17637</v>
      </c>
      <c r="J49">
        <v>423</v>
      </c>
      <c r="K49">
        <v>60413</v>
      </c>
      <c r="L49">
        <v>0.9</v>
      </c>
      <c r="M49">
        <v>40224.15</v>
      </c>
    </row>
    <row r="50" spans="2:13" x14ac:dyDescent="0.25">
      <c r="B50">
        <v>37300</v>
      </c>
      <c r="C50" s="1">
        <v>44812</v>
      </c>
      <c r="D50">
        <v>23</v>
      </c>
      <c r="E50">
        <v>-29</v>
      </c>
      <c r="F50">
        <v>59</v>
      </c>
      <c r="G50">
        <v>2850</v>
      </c>
      <c r="H50">
        <v>40224.15</v>
      </c>
      <c r="I50">
        <v>5495</v>
      </c>
      <c r="J50">
        <v>-1716</v>
      </c>
      <c r="K50">
        <v>58607</v>
      </c>
      <c r="L50">
        <v>1</v>
      </c>
      <c r="M50">
        <v>40224.15</v>
      </c>
    </row>
    <row r="51" spans="2:13" x14ac:dyDescent="0.25">
      <c r="B51">
        <v>37400</v>
      </c>
      <c r="C51" s="1">
        <v>44812</v>
      </c>
      <c r="D51">
        <v>24</v>
      </c>
      <c r="E51">
        <v>-1</v>
      </c>
      <c r="F51">
        <v>2</v>
      </c>
      <c r="G51">
        <v>2880.25</v>
      </c>
      <c r="H51">
        <v>40224.15</v>
      </c>
      <c r="I51">
        <v>12420</v>
      </c>
      <c r="J51">
        <v>-197</v>
      </c>
      <c r="K51">
        <v>84734</v>
      </c>
      <c r="L51">
        <v>0.95</v>
      </c>
      <c r="M51">
        <v>40224.15</v>
      </c>
    </row>
    <row r="52" spans="2:13" x14ac:dyDescent="0.25">
      <c r="B52">
        <v>37500</v>
      </c>
      <c r="C52" s="1">
        <v>44812</v>
      </c>
      <c r="D52">
        <v>478</v>
      </c>
      <c r="E52">
        <v>-213</v>
      </c>
      <c r="F52">
        <v>403</v>
      </c>
      <c r="G52">
        <v>2736.6</v>
      </c>
      <c r="H52">
        <v>40224.15</v>
      </c>
      <c r="I52">
        <v>74096</v>
      </c>
      <c r="J52">
        <v>-3864</v>
      </c>
      <c r="K52">
        <v>586105</v>
      </c>
      <c r="L52">
        <v>1.1499999999999999</v>
      </c>
      <c r="M52">
        <v>40224.15</v>
      </c>
    </row>
    <row r="53" spans="2:13" x14ac:dyDescent="0.25">
      <c r="B53">
        <v>37600</v>
      </c>
      <c r="C53" s="1">
        <v>44812</v>
      </c>
      <c r="D53">
        <v>86</v>
      </c>
      <c r="E53">
        <v>0</v>
      </c>
      <c r="F53">
        <v>0</v>
      </c>
      <c r="G53">
        <v>0</v>
      </c>
      <c r="H53">
        <v>40224.15</v>
      </c>
      <c r="I53">
        <v>13220</v>
      </c>
      <c r="J53">
        <v>-693</v>
      </c>
      <c r="K53">
        <v>108287</v>
      </c>
      <c r="L53">
        <v>1.1000000000000001</v>
      </c>
      <c r="M53">
        <v>40224.15</v>
      </c>
    </row>
    <row r="54" spans="2:13" x14ac:dyDescent="0.25">
      <c r="B54">
        <v>37700</v>
      </c>
      <c r="C54" s="1">
        <v>44812</v>
      </c>
      <c r="D54">
        <v>73</v>
      </c>
      <c r="E54">
        <v>-7</v>
      </c>
      <c r="F54">
        <v>13</v>
      </c>
      <c r="G54">
        <v>2440</v>
      </c>
      <c r="H54">
        <v>40224.15</v>
      </c>
      <c r="I54">
        <v>10087</v>
      </c>
      <c r="J54">
        <v>-8063</v>
      </c>
      <c r="K54">
        <v>104589</v>
      </c>
      <c r="L54">
        <v>1.1000000000000001</v>
      </c>
      <c r="M54">
        <v>40224.15</v>
      </c>
    </row>
    <row r="55" spans="2:13" x14ac:dyDescent="0.25">
      <c r="B55">
        <v>37800</v>
      </c>
      <c r="C55" s="1">
        <v>44812</v>
      </c>
      <c r="D55">
        <v>92</v>
      </c>
      <c r="E55">
        <v>-13</v>
      </c>
      <c r="F55">
        <v>24</v>
      </c>
      <c r="G55">
        <v>2446.3000000000002</v>
      </c>
      <c r="H55">
        <v>40224.15</v>
      </c>
      <c r="I55">
        <v>19670</v>
      </c>
      <c r="J55">
        <v>-1860</v>
      </c>
      <c r="K55">
        <v>132389</v>
      </c>
      <c r="L55">
        <v>1.1000000000000001</v>
      </c>
      <c r="M55">
        <v>40224.15</v>
      </c>
    </row>
    <row r="56" spans="2:13" x14ac:dyDescent="0.25">
      <c r="B56">
        <v>37900</v>
      </c>
      <c r="C56" s="1">
        <v>44812</v>
      </c>
      <c r="D56">
        <v>114</v>
      </c>
      <c r="E56">
        <v>-11</v>
      </c>
      <c r="F56">
        <v>20</v>
      </c>
      <c r="G56">
        <v>2320.1999999999998</v>
      </c>
      <c r="H56">
        <v>40224.15</v>
      </c>
      <c r="I56">
        <v>15995</v>
      </c>
      <c r="J56">
        <v>26</v>
      </c>
      <c r="K56">
        <v>150180</v>
      </c>
      <c r="L56">
        <v>1.1000000000000001</v>
      </c>
      <c r="M56">
        <v>40224.15</v>
      </c>
    </row>
    <row r="57" spans="2:13" x14ac:dyDescent="0.25">
      <c r="B57">
        <v>38000</v>
      </c>
      <c r="C57" s="1">
        <v>44812</v>
      </c>
      <c r="D57">
        <v>1447</v>
      </c>
      <c r="E57">
        <v>-934</v>
      </c>
      <c r="F57">
        <v>1370</v>
      </c>
      <c r="G57">
        <v>2213.4</v>
      </c>
      <c r="H57">
        <v>40224.15</v>
      </c>
      <c r="I57">
        <v>165446</v>
      </c>
      <c r="J57">
        <v>70168</v>
      </c>
      <c r="K57">
        <v>1152607</v>
      </c>
      <c r="L57">
        <v>1.35</v>
      </c>
      <c r="M57">
        <v>40224.15</v>
      </c>
    </row>
    <row r="58" spans="2:13" x14ac:dyDescent="0.25">
      <c r="B58">
        <v>38100</v>
      </c>
      <c r="C58" s="1">
        <v>44812</v>
      </c>
      <c r="D58">
        <v>299</v>
      </c>
      <c r="E58">
        <v>-81</v>
      </c>
      <c r="F58">
        <v>140</v>
      </c>
      <c r="G58">
        <v>2163.9</v>
      </c>
      <c r="H58">
        <v>40224.15</v>
      </c>
      <c r="I58">
        <v>19616</v>
      </c>
      <c r="J58">
        <v>4009</v>
      </c>
      <c r="K58">
        <v>203086</v>
      </c>
      <c r="L58">
        <v>1.4</v>
      </c>
      <c r="M58">
        <v>40224.15</v>
      </c>
    </row>
    <row r="59" spans="2:13" x14ac:dyDescent="0.25">
      <c r="B59">
        <v>38200</v>
      </c>
      <c r="C59" s="1">
        <v>44812</v>
      </c>
      <c r="D59">
        <v>686</v>
      </c>
      <c r="E59">
        <v>-109</v>
      </c>
      <c r="F59">
        <v>278</v>
      </c>
      <c r="G59">
        <v>2020.1</v>
      </c>
      <c r="H59">
        <v>40224.15</v>
      </c>
      <c r="I59">
        <v>33028</v>
      </c>
      <c r="J59">
        <v>4832</v>
      </c>
      <c r="K59">
        <v>309142</v>
      </c>
      <c r="L59">
        <v>1.35</v>
      </c>
      <c r="M59">
        <v>40224.15</v>
      </c>
    </row>
    <row r="60" spans="2:13" x14ac:dyDescent="0.25">
      <c r="B60">
        <v>38300</v>
      </c>
      <c r="C60" s="1">
        <v>44812</v>
      </c>
      <c r="D60">
        <v>313</v>
      </c>
      <c r="E60">
        <v>-106</v>
      </c>
      <c r="F60">
        <v>402</v>
      </c>
      <c r="G60">
        <v>1938.15</v>
      </c>
      <c r="H60">
        <v>40224.15</v>
      </c>
      <c r="I60">
        <v>39550</v>
      </c>
      <c r="J60">
        <v>14061</v>
      </c>
      <c r="K60">
        <v>374354</v>
      </c>
      <c r="L60">
        <v>1.45</v>
      </c>
      <c r="M60">
        <v>40224.15</v>
      </c>
    </row>
    <row r="61" spans="2:13" x14ac:dyDescent="0.25">
      <c r="B61">
        <v>38400</v>
      </c>
      <c r="C61" s="1">
        <v>44812</v>
      </c>
      <c r="D61">
        <v>204</v>
      </c>
      <c r="E61">
        <v>-37</v>
      </c>
      <c r="F61">
        <v>215</v>
      </c>
      <c r="G61">
        <v>1906.95</v>
      </c>
      <c r="H61">
        <v>40224.15</v>
      </c>
      <c r="I61">
        <v>34785</v>
      </c>
      <c r="J61">
        <v>5888</v>
      </c>
      <c r="K61">
        <v>384533</v>
      </c>
      <c r="L61">
        <v>1.55</v>
      </c>
      <c r="M61">
        <v>40224.15</v>
      </c>
    </row>
    <row r="62" spans="2:13" x14ac:dyDescent="0.25">
      <c r="B62">
        <v>38500</v>
      </c>
      <c r="C62" s="1">
        <v>44812</v>
      </c>
      <c r="D62">
        <v>1376</v>
      </c>
      <c r="E62">
        <v>-1909</v>
      </c>
      <c r="F62">
        <v>7107</v>
      </c>
      <c r="G62">
        <v>1714.3</v>
      </c>
      <c r="H62">
        <v>40224.15</v>
      </c>
      <c r="I62">
        <v>169780</v>
      </c>
      <c r="J62">
        <v>99100</v>
      </c>
      <c r="K62">
        <v>1334625</v>
      </c>
      <c r="L62">
        <v>1.7</v>
      </c>
      <c r="M62">
        <v>40224.15</v>
      </c>
    </row>
    <row r="63" spans="2:13" x14ac:dyDescent="0.25">
      <c r="B63">
        <v>38600</v>
      </c>
      <c r="C63" s="1">
        <v>44812</v>
      </c>
      <c r="D63">
        <v>586</v>
      </c>
      <c r="E63">
        <v>-79</v>
      </c>
      <c r="F63">
        <v>617</v>
      </c>
      <c r="G63">
        <v>1662.55</v>
      </c>
      <c r="H63">
        <v>40224.15</v>
      </c>
      <c r="I63">
        <v>29891</v>
      </c>
      <c r="J63">
        <v>896</v>
      </c>
      <c r="K63">
        <v>481292</v>
      </c>
      <c r="L63">
        <v>1.55</v>
      </c>
      <c r="M63">
        <v>40224.15</v>
      </c>
    </row>
    <row r="64" spans="2:13" x14ac:dyDescent="0.25">
      <c r="B64">
        <v>38700</v>
      </c>
      <c r="C64" s="1">
        <v>44812</v>
      </c>
      <c r="D64">
        <v>612</v>
      </c>
      <c r="E64">
        <v>-170</v>
      </c>
      <c r="F64">
        <v>1605</v>
      </c>
      <c r="G64">
        <v>1514.65</v>
      </c>
      <c r="H64">
        <v>40224.15</v>
      </c>
      <c r="I64">
        <v>44909</v>
      </c>
      <c r="J64">
        <v>13956</v>
      </c>
      <c r="K64">
        <v>583200</v>
      </c>
      <c r="L64">
        <v>1.7</v>
      </c>
      <c r="M64">
        <v>40224.15</v>
      </c>
    </row>
    <row r="65" spans="2:13" x14ac:dyDescent="0.25">
      <c r="B65">
        <v>38800</v>
      </c>
      <c r="C65" s="1">
        <v>44812</v>
      </c>
      <c r="D65">
        <v>696</v>
      </c>
      <c r="E65">
        <v>-396</v>
      </c>
      <c r="F65">
        <v>2241</v>
      </c>
      <c r="G65">
        <v>1419.1</v>
      </c>
      <c r="H65">
        <v>40224.15</v>
      </c>
      <c r="I65">
        <v>43643</v>
      </c>
      <c r="J65">
        <v>-6302</v>
      </c>
      <c r="K65">
        <v>691230</v>
      </c>
      <c r="L65">
        <v>1.8</v>
      </c>
      <c r="M65">
        <v>40224.15</v>
      </c>
    </row>
    <row r="66" spans="2:13" x14ac:dyDescent="0.25">
      <c r="B66">
        <v>38900</v>
      </c>
      <c r="C66" s="1">
        <v>44812</v>
      </c>
      <c r="D66">
        <v>1053</v>
      </c>
      <c r="E66">
        <v>-471</v>
      </c>
      <c r="F66">
        <v>6365</v>
      </c>
      <c r="G66">
        <v>1318.55</v>
      </c>
      <c r="H66">
        <v>40224.15</v>
      </c>
      <c r="I66">
        <v>40825</v>
      </c>
      <c r="J66">
        <v>9071</v>
      </c>
      <c r="K66">
        <v>737463</v>
      </c>
      <c r="L66">
        <v>1.95</v>
      </c>
      <c r="M66">
        <v>40224.15</v>
      </c>
    </row>
    <row r="67" spans="2:13" x14ac:dyDescent="0.25">
      <c r="B67">
        <v>39000</v>
      </c>
      <c r="C67" s="1">
        <v>44812</v>
      </c>
      <c r="D67">
        <v>6989</v>
      </c>
      <c r="E67">
        <v>-7285</v>
      </c>
      <c r="F67">
        <v>50626</v>
      </c>
      <c r="G67">
        <v>1210</v>
      </c>
      <c r="H67">
        <v>40224.15</v>
      </c>
      <c r="I67">
        <v>178038</v>
      </c>
      <c r="J67">
        <v>81493</v>
      </c>
      <c r="K67">
        <v>1979793</v>
      </c>
      <c r="L67">
        <v>2.25</v>
      </c>
      <c r="M67">
        <v>40224.15</v>
      </c>
    </row>
    <row r="68" spans="2:13" x14ac:dyDescent="0.25">
      <c r="B68">
        <v>39100</v>
      </c>
      <c r="C68" s="1">
        <v>44812</v>
      </c>
      <c r="D68">
        <v>1779</v>
      </c>
      <c r="E68">
        <v>-2646</v>
      </c>
      <c r="F68">
        <v>12572</v>
      </c>
      <c r="G68">
        <v>1110</v>
      </c>
      <c r="H68">
        <v>40224.15</v>
      </c>
      <c r="I68">
        <v>35268</v>
      </c>
      <c r="J68">
        <v>10260</v>
      </c>
      <c r="K68">
        <v>921232</v>
      </c>
      <c r="L68">
        <v>2.2000000000000002</v>
      </c>
      <c r="M68">
        <v>40224.15</v>
      </c>
    </row>
    <row r="69" spans="2:13" x14ac:dyDescent="0.25">
      <c r="B69">
        <v>39200</v>
      </c>
      <c r="C69" s="1">
        <v>44812</v>
      </c>
      <c r="D69">
        <v>3669</v>
      </c>
      <c r="E69">
        <v>-5297</v>
      </c>
      <c r="F69">
        <v>45069</v>
      </c>
      <c r="G69">
        <v>1009</v>
      </c>
      <c r="H69">
        <v>40224.15</v>
      </c>
      <c r="I69">
        <v>62215</v>
      </c>
      <c r="J69">
        <v>22093</v>
      </c>
      <c r="K69">
        <v>1377627</v>
      </c>
      <c r="L69">
        <v>2.4</v>
      </c>
      <c r="M69">
        <v>40224.15</v>
      </c>
    </row>
    <row r="70" spans="2:13" x14ac:dyDescent="0.25">
      <c r="B70">
        <v>39300</v>
      </c>
      <c r="C70" s="1">
        <v>44812</v>
      </c>
      <c r="D70">
        <v>6171</v>
      </c>
      <c r="E70">
        <v>-11900</v>
      </c>
      <c r="F70">
        <v>130371</v>
      </c>
      <c r="G70">
        <v>912.35</v>
      </c>
      <c r="H70">
        <v>40224.15</v>
      </c>
      <c r="I70">
        <v>73420</v>
      </c>
      <c r="J70">
        <v>12320</v>
      </c>
      <c r="K70">
        <v>1716737</v>
      </c>
      <c r="L70">
        <v>2.75</v>
      </c>
      <c r="M70">
        <v>40224.15</v>
      </c>
    </row>
    <row r="71" spans="2:13" x14ac:dyDescent="0.25">
      <c r="B71">
        <v>39400</v>
      </c>
      <c r="C71" s="1">
        <v>44812</v>
      </c>
      <c r="D71">
        <v>7332</v>
      </c>
      <c r="E71">
        <v>-27023</v>
      </c>
      <c r="F71">
        <v>282918</v>
      </c>
      <c r="G71">
        <v>814.25</v>
      </c>
      <c r="H71">
        <v>40224.15</v>
      </c>
      <c r="I71">
        <v>80633</v>
      </c>
      <c r="J71">
        <v>24347</v>
      </c>
      <c r="K71">
        <v>2381304</v>
      </c>
      <c r="L71">
        <v>3</v>
      </c>
      <c r="M71">
        <v>40224.15</v>
      </c>
    </row>
    <row r="72" spans="2:13" x14ac:dyDescent="0.25">
      <c r="B72">
        <v>39500</v>
      </c>
      <c r="C72" s="1">
        <v>44812</v>
      </c>
      <c r="D72">
        <v>21338</v>
      </c>
      <c r="E72">
        <v>-107737</v>
      </c>
      <c r="F72">
        <v>1037909</v>
      </c>
      <c r="G72">
        <v>711.8</v>
      </c>
      <c r="H72">
        <v>40224.15</v>
      </c>
      <c r="I72">
        <v>157692</v>
      </c>
      <c r="J72">
        <v>67796</v>
      </c>
      <c r="K72">
        <v>4516822</v>
      </c>
      <c r="L72">
        <v>3.4</v>
      </c>
      <c r="M72">
        <v>40224.15</v>
      </c>
    </row>
    <row r="73" spans="2:13" x14ac:dyDescent="0.25">
      <c r="B73">
        <v>39600</v>
      </c>
      <c r="C73" s="1">
        <v>44812</v>
      </c>
      <c r="D73">
        <v>21539</v>
      </c>
      <c r="E73">
        <v>-33802</v>
      </c>
      <c r="F73">
        <v>993007</v>
      </c>
      <c r="G73">
        <v>612.1</v>
      </c>
      <c r="H73">
        <v>40224.15</v>
      </c>
      <c r="I73">
        <v>85464</v>
      </c>
      <c r="J73">
        <v>66259</v>
      </c>
      <c r="K73">
        <v>3505927</v>
      </c>
      <c r="L73">
        <v>3.85</v>
      </c>
      <c r="M73">
        <v>40224.15</v>
      </c>
    </row>
    <row r="74" spans="2:13" x14ac:dyDescent="0.25">
      <c r="B74">
        <v>39700</v>
      </c>
      <c r="C74" s="1">
        <v>44812</v>
      </c>
      <c r="D74">
        <v>16110</v>
      </c>
      <c r="E74">
        <v>-37442</v>
      </c>
      <c r="F74">
        <v>1965137</v>
      </c>
      <c r="G74">
        <v>516.35</v>
      </c>
      <c r="H74">
        <v>40224.15</v>
      </c>
      <c r="I74">
        <v>112281</v>
      </c>
      <c r="J74">
        <v>98116</v>
      </c>
      <c r="K74">
        <v>4939847</v>
      </c>
      <c r="L74">
        <v>4.7</v>
      </c>
      <c r="M74">
        <v>40224.15</v>
      </c>
    </row>
    <row r="75" spans="2:13" x14ac:dyDescent="0.25">
      <c r="B75">
        <v>39800</v>
      </c>
      <c r="C75" s="1">
        <v>44812</v>
      </c>
      <c r="D75">
        <v>33942</v>
      </c>
      <c r="E75">
        <v>-30956</v>
      </c>
      <c r="F75">
        <v>3640375</v>
      </c>
      <c r="G75">
        <v>416.7</v>
      </c>
      <c r="H75">
        <v>40224.15</v>
      </c>
      <c r="I75">
        <v>151999</v>
      </c>
      <c r="J75">
        <v>141816</v>
      </c>
      <c r="K75">
        <v>6376342</v>
      </c>
      <c r="L75">
        <v>5.9</v>
      </c>
      <c r="M75">
        <v>40224.15</v>
      </c>
    </row>
    <row r="76" spans="2:13" x14ac:dyDescent="0.25">
      <c r="B76">
        <v>39900</v>
      </c>
      <c r="C76" s="1">
        <v>44812</v>
      </c>
      <c r="D76">
        <v>29678</v>
      </c>
      <c r="E76">
        <v>-33551</v>
      </c>
      <c r="F76">
        <v>5085204</v>
      </c>
      <c r="G76">
        <v>319</v>
      </c>
      <c r="H76">
        <v>40224.15</v>
      </c>
      <c r="I76">
        <v>175375</v>
      </c>
      <c r="J76">
        <v>168582</v>
      </c>
      <c r="K76">
        <v>6531735</v>
      </c>
      <c r="L76">
        <v>8.5</v>
      </c>
      <c r="M76">
        <v>40224.15</v>
      </c>
    </row>
    <row r="77" spans="2:13" x14ac:dyDescent="0.25">
      <c r="B77">
        <v>40000</v>
      </c>
      <c r="C77" s="1">
        <v>44812</v>
      </c>
      <c r="D77">
        <v>91596</v>
      </c>
      <c r="E77">
        <v>-43540</v>
      </c>
      <c r="F77">
        <v>10938859</v>
      </c>
      <c r="G77">
        <v>225.25</v>
      </c>
      <c r="H77">
        <v>40224.15</v>
      </c>
      <c r="I77">
        <v>251809</v>
      </c>
      <c r="J77">
        <v>238282</v>
      </c>
      <c r="K77">
        <v>8569292</v>
      </c>
      <c r="L77">
        <v>15.05</v>
      </c>
      <c r="M77">
        <v>40224.15</v>
      </c>
    </row>
    <row r="78" spans="2:13" x14ac:dyDescent="0.25">
      <c r="B78">
        <v>40100</v>
      </c>
      <c r="C78" s="1">
        <v>44812</v>
      </c>
      <c r="D78">
        <v>76970</v>
      </c>
      <c r="E78">
        <v>13976</v>
      </c>
      <c r="F78">
        <v>8264055</v>
      </c>
      <c r="G78">
        <v>137.9</v>
      </c>
      <c r="H78">
        <v>40224.15</v>
      </c>
      <c r="I78">
        <v>175583</v>
      </c>
      <c r="J78">
        <v>172926</v>
      </c>
      <c r="K78">
        <v>4084406</v>
      </c>
      <c r="L78">
        <v>27.8</v>
      </c>
      <c r="M78">
        <v>40224.15</v>
      </c>
    </row>
    <row r="79" spans="2:13" x14ac:dyDescent="0.25">
      <c r="B79">
        <v>40200</v>
      </c>
      <c r="C79" s="1">
        <v>44812</v>
      </c>
      <c r="D79">
        <v>178558</v>
      </c>
      <c r="E79">
        <v>107124</v>
      </c>
      <c r="F79">
        <v>9134753</v>
      </c>
      <c r="G79">
        <v>68.05</v>
      </c>
      <c r="H79">
        <v>40224.15</v>
      </c>
      <c r="I79">
        <v>161455</v>
      </c>
      <c r="J79">
        <v>158600</v>
      </c>
      <c r="K79">
        <v>2722944</v>
      </c>
      <c r="L79">
        <v>58</v>
      </c>
      <c r="M79">
        <v>40224.15</v>
      </c>
    </row>
    <row r="80" spans="2:13" x14ac:dyDescent="0.25">
      <c r="B80">
        <v>40300</v>
      </c>
      <c r="C80" s="1">
        <v>44812</v>
      </c>
      <c r="D80">
        <v>176130</v>
      </c>
      <c r="E80">
        <v>119454</v>
      </c>
      <c r="F80">
        <v>6989897</v>
      </c>
      <c r="G80">
        <v>25.15</v>
      </c>
      <c r="H80">
        <v>40224.15</v>
      </c>
      <c r="I80">
        <v>55088</v>
      </c>
      <c r="J80">
        <v>53655</v>
      </c>
      <c r="K80">
        <v>1034997</v>
      </c>
      <c r="L80">
        <v>115.35</v>
      </c>
      <c r="M80">
        <v>40224.15</v>
      </c>
    </row>
    <row r="81" spans="2:13" x14ac:dyDescent="0.25">
      <c r="B81">
        <v>40400</v>
      </c>
      <c r="C81" s="1">
        <v>44812</v>
      </c>
      <c r="D81">
        <v>133169</v>
      </c>
      <c r="E81">
        <v>80731</v>
      </c>
      <c r="F81">
        <v>4251122</v>
      </c>
      <c r="G81">
        <v>6.55</v>
      </c>
      <c r="H81">
        <v>40224.15</v>
      </c>
      <c r="I81">
        <v>15600</v>
      </c>
      <c r="J81">
        <v>14802</v>
      </c>
      <c r="K81">
        <v>343548</v>
      </c>
      <c r="L81">
        <v>196</v>
      </c>
      <c r="M81">
        <v>40224.15</v>
      </c>
    </row>
    <row r="82" spans="2:13" x14ac:dyDescent="0.25">
      <c r="B82">
        <v>40500</v>
      </c>
      <c r="C82" s="1">
        <v>44812</v>
      </c>
      <c r="D82">
        <v>176821</v>
      </c>
      <c r="E82">
        <v>69176</v>
      </c>
      <c r="F82">
        <v>4316926</v>
      </c>
      <c r="G82">
        <v>3.1</v>
      </c>
      <c r="H82">
        <v>40224.15</v>
      </c>
      <c r="I82">
        <v>16755</v>
      </c>
      <c r="J82">
        <v>15274</v>
      </c>
      <c r="K82">
        <v>282526</v>
      </c>
      <c r="L82">
        <v>292.8</v>
      </c>
      <c r="M82">
        <v>40224.15</v>
      </c>
    </row>
    <row r="83" spans="2:13" x14ac:dyDescent="0.25">
      <c r="B83">
        <v>40600</v>
      </c>
      <c r="C83" s="1">
        <v>44812</v>
      </c>
      <c r="D83">
        <v>80126</v>
      </c>
      <c r="E83">
        <v>42662</v>
      </c>
      <c r="F83">
        <v>1611205</v>
      </c>
      <c r="G83">
        <v>1.7</v>
      </c>
      <c r="H83">
        <v>40224.15</v>
      </c>
      <c r="I83">
        <v>3016</v>
      </c>
      <c r="J83">
        <v>2587</v>
      </c>
      <c r="K83">
        <v>42566</v>
      </c>
      <c r="L83">
        <v>391.15</v>
      </c>
      <c r="M83">
        <v>40224.15</v>
      </c>
    </row>
    <row r="84" spans="2:13" x14ac:dyDescent="0.25">
      <c r="B84">
        <v>40700</v>
      </c>
      <c r="C84" s="1">
        <v>44812</v>
      </c>
      <c r="D84">
        <v>54019</v>
      </c>
      <c r="E84">
        <v>14457</v>
      </c>
      <c r="F84">
        <v>1061834</v>
      </c>
      <c r="G84">
        <v>1.05</v>
      </c>
      <c r="H84">
        <v>40224.15</v>
      </c>
      <c r="I84">
        <v>1167</v>
      </c>
      <c r="J84">
        <v>942</v>
      </c>
      <c r="K84">
        <v>9221</v>
      </c>
      <c r="L84">
        <v>491.95</v>
      </c>
      <c r="M84">
        <v>40224.15</v>
      </c>
    </row>
    <row r="85" spans="2:13" x14ac:dyDescent="0.25">
      <c r="B85">
        <v>40800</v>
      </c>
      <c r="C85" s="1">
        <v>44812</v>
      </c>
      <c r="D85">
        <v>46190</v>
      </c>
      <c r="E85">
        <v>13776</v>
      </c>
      <c r="F85">
        <v>776549</v>
      </c>
      <c r="G85">
        <v>0.9</v>
      </c>
      <c r="H85">
        <v>40224.15</v>
      </c>
      <c r="I85">
        <v>656</v>
      </c>
      <c r="J85">
        <v>335</v>
      </c>
      <c r="K85">
        <v>4385</v>
      </c>
      <c r="L85">
        <v>590.9</v>
      </c>
      <c r="M85">
        <v>40224.15</v>
      </c>
    </row>
    <row r="86" spans="2:13" x14ac:dyDescent="0.25">
      <c r="B86">
        <v>40900</v>
      </c>
      <c r="C86" s="1">
        <v>44812</v>
      </c>
      <c r="D86">
        <v>54848</v>
      </c>
      <c r="E86">
        <v>9107</v>
      </c>
      <c r="F86">
        <v>530939</v>
      </c>
      <c r="G86">
        <v>0.7</v>
      </c>
      <c r="H86">
        <v>40224.15</v>
      </c>
      <c r="I86">
        <v>326</v>
      </c>
      <c r="J86">
        <v>245</v>
      </c>
      <c r="K86">
        <v>7175</v>
      </c>
      <c r="L86">
        <v>692.3</v>
      </c>
      <c r="M86">
        <v>40224.15</v>
      </c>
    </row>
    <row r="87" spans="2:13" x14ac:dyDescent="0.25">
      <c r="B87">
        <v>41000</v>
      </c>
      <c r="C87" s="1">
        <v>44812</v>
      </c>
      <c r="D87">
        <v>197837</v>
      </c>
      <c r="E87">
        <v>67494</v>
      </c>
      <c r="F87">
        <v>1624854</v>
      </c>
      <c r="G87">
        <v>0.65</v>
      </c>
      <c r="H87">
        <v>40224.15</v>
      </c>
      <c r="I87">
        <v>1185</v>
      </c>
      <c r="J87">
        <v>436</v>
      </c>
      <c r="K87">
        <v>8845</v>
      </c>
      <c r="L87">
        <v>792.2</v>
      </c>
      <c r="M87">
        <v>40224.15</v>
      </c>
    </row>
    <row r="88" spans="2:13" x14ac:dyDescent="0.25">
      <c r="B88">
        <v>41100</v>
      </c>
      <c r="C88" s="1">
        <v>44812</v>
      </c>
      <c r="D88">
        <v>27156</v>
      </c>
      <c r="E88">
        <v>9935</v>
      </c>
      <c r="F88">
        <v>313899</v>
      </c>
      <c r="G88">
        <v>0.45</v>
      </c>
      <c r="H88">
        <v>40224.15</v>
      </c>
      <c r="I88">
        <v>26</v>
      </c>
      <c r="J88">
        <v>7</v>
      </c>
      <c r="K88">
        <v>237</v>
      </c>
      <c r="L88">
        <v>888</v>
      </c>
      <c r="M88">
        <v>40224.15</v>
      </c>
    </row>
    <row r="89" spans="2:13" x14ac:dyDescent="0.25">
      <c r="B89">
        <v>41200</v>
      </c>
      <c r="C89" s="1">
        <v>44812</v>
      </c>
      <c r="D89">
        <v>27687</v>
      </c>
      <c r="E89">
        <v>4941</v>
      </c>
      <c r="F89">
        <v>279969</v>
      </c>
      <c r="G89">
        <v>0.45</v>
      </c>
      <c r="H89">
        <v>40224.15</v>
      </c>
      <c r="I89">
        <v>54</v>
      </c>
      <c r="J89">
        <v>35</v>
      </c>
      <c r="K89">
        <v>187</v>
      </c>
      <c r="L89">
        <v>960.25</v>
      </c>
      <c r="M89">
        <v>40224.15</v>
      </c>
    </row>
    <row r="90" spans="2:13" x14ac:dyDescent="0.25">
      <c r="B90">
        <v>41300</v>
      </c>
      <c r="C90" s="1">
        <v>44812</v>
      </c>
      <c r="D90">
        <v>13546</v>
      </c>
      <c r="E90">
        <v>-1214</v>
      </c>
      <c r="F90">
        <v>211053</v>
      </c>
      <c r="G90">
        <v>0.55000000000000004</v>
      </c>
      <c r="H90">
        <v>40224.15</v>
      </c>
      <c r="I90">
        <v>27</v>
      </c>
      <c r="J90">
        <v>2</v>
      </c>
      <c r="K90">
        <v>41</v>
      </c>
      <c r="L90">
        <v>1100</v>
      </c>
      <c r="M90">
        <v>40224.15</v>
      </c>
    </row>
    <row r="91" spans="2:13" x14ac:dyDescent="0.25">
      <c r="B91">
        <v>41400</v>
      </c>
      <c r="C91" s="1">
        <v>44812</v>
      </c>
      <c r="D91">
        <v>10435</v>
      </c>
      <c r="E91">
        <v>-1046</v>
      </c>
      <c r="F91">
        <v>156075</v>
      </c>
      <c r="G91">
        <v>0.5</v>
      </c>
      <c r="H91">
        <v>40224.15</v>
      </c>
      <c r="I91">
        <v>18</v>
      </c>
      <c r="J91">
        <v>6</v>
      </c>
      <c r="K91">
        <v>7</v>
      </c>
      <c r="L91">
        <v>1199.3499999999999</v>
      </c>
      <c r="M91">
        <v>40224.15</v>
      </c>
    </row>
    <row r="92" spans="2:13" x14ac:dyDescent="0.25">
      <c r="B92">
        <v>41500</v>
      </c>
      <c r="C92" s="1">
        <v>44812</v>
      </c>
      <c r="D92">
        <v>97957</v>
      </c>
      <c r="E92">
        <v>-14996</v>
      </c>
      <c r="F92">
        <v>761798</v>
      </c>
      <c r="G92">
        <v>0.5</v>
      </c>
      <c r="H92">
        <v>40224.15</v>
      </c>
      <c r="I92">
        <v>231</v>
      </c>
      <c r="J92">
        <v>-11</v>
      </c>
      <c r="K92">
        <v>460</v>
      </c>
      <c r="L92">
        <v>1296.4000000000001</v>
      </c>
      <c r="M92">
        <v>40224.15</v>
      </c>
    </row>
    <row r="93" spans="2:13" x14ac:dyDescent="0.25">
      <c r="B93">
        <v>41600</v>
      </c>
      <c r="C93" s="1">
        <v>44812</v>
      </c>
      <c r="D93">
        <v>8429</v>
      </c>
      <c r="E93">
        <v>539</v>
      </c>
      <c r="F93">
        <v>112933</v>
      </c>
      <c r="G93">
        <v>0.45</v>
      </c>
      <c r="H93">
        <v>40224.15</v>
      </c>
      <c r="I93">
        <v>0</v>
      </c>
      <c r="J93">
        <v>0</v>
      </c>
      <c r="K93">
        <v>0</v>
      </c>
      <c r="L93">
        <v>0</v>
      </c>
      <c r="M93">
        <v>40224.15</v>
      </c>
    </row>
    <row r="94" spans="2:13" x14ac:dyDescent="0.25">
      <c r="B94">
        <v>41700</v>
      </c>
      <c r="C94" s="1">
        <v>44812</v>
      </c>
      <c r="D94">
        <v>8535</v>
      </c>
      <c r="E94">
        <v>1458</v>
      </c>
      <c r="F94">
        <v>92428</v>
      </c>
      <c r="G94">
        <v>0.35</v>
      </c>
      <c r="H94">
        <v>40224.15</v>
      </c>
      <c r="I94">
        <v>2</v>
      </c>
      <c r="J94">
        <v>2</v>
      </c>
      <c r="K94">
        <v>4</v>
      </c>
      <c r="L94">
        <v>1560.2</v>
      </c>
      <c r="M94">
        <v>40224.15</v>
      </c>
    </row>
    <row r="95" spans="2:13" x14ac:dyDescent="0.25">
      <c r="B95">
        <v>41800</v>
      </c>
      <c r="C95" s="1">
        <v>44812</v>
      </c>
      <c r="D95">
        <v>13070</v>
      </c>
      <c r="E95">
        <v>610</v>
      </c>
      <c r="F95">
        <v>115809</v>
      </c>
      <c r="G95">
        <v>0.4</v>
      </c>
      <c r="H95">
        <v>40224.15</v>
      </c>
      <c r="I95">
        <v>0</v>
      </c>
      <c r="J95">
        <v>0</v>
      </c>
      <c r="K95">
        <v>0</v>
      </c>
      <c r="L95">
        <v>0</v>
      </c>
      <c r="M95">
        <v>40224.15</v>
      </c>
    </row>
    <row r="96" spans="2:13" x14ac:dyDescent="0.25">
      <c r="B96">
        <v>42000</v>
      </c>
      <c r="C96" s="1">
        <v>44812</v>
      </c>
      <c r="D96">
        <v>81958</v>
      </c>
      <c r="E96">
        <v>8620</v>
      </c>
      <c r="F96">
        <v>625129</v>
      </c>
      <c r="G96">
        <v>0.4</v>
      </c>
      <c r="H96">
        <v>40224.15</v>
      </c>
      <c r="I96">
        <v>118</v>
      </c>
      <c r="J96">
        <v>-8</v>
      </c>
      <c r="K96">
        <v>39</v>
      </c>
      <c r="L96">
        <v>1792.85</v>
      </c>
      <c r="M96">
        <v>40224.15</v>
      </c>
    </row>
    <row r="97" spans="2:13" x14ac:dyDescent="0.25">
      <c r="B97">
        <v>42500</v>
      </c>
      <c r="C97" s="1">
        <v>44812</v>
      </c>
      <c r="D97">
        <v>28929</v>
      </c>
      <c r="E97">
        <v>-13527</v>
      </c>
      <c r="F97">
        <v>245863</v>
      </c>
      <c r="G97">
        <v>0.45</v>
      </c>
      <c r="H97">
        <v>40224.15</v>
      </c>
      <c r="I97">
        <v>4</v>
      </c>
      <c r="J97">
        <v>0</v>
      </c>
      <c r="K97">
        <v>3</v>
      </c>
      <c r="L97">
        <v>2301</v>
      </c>
      <c r="M97">
        <v>40224.15</v>
      </c>
    </row>
    <row r="98" spans="2:13" x14ac:dyDescent="0.25">
      <c r="B98">
        <v>43000</v>
      </c>
      <c r="C98" s="1">
        <v>44812</v>
      </c>
      <c r="D98">
        <v>21176</v>
      </c>
      <c r="E98">
        <v>-30723</v>
      </c>
      <c r="F98">
        <v>222106</v>
      </c>
      <c r="G98">
        <v>0.4</v>
      </c>
      <c r="H98">
        <v>40224.15</v>
      </c>
      <c r="I98">
        <v>5</v>
      </c>
      <c r="J98">
        <v>0</v>
      </c>
      <c r="K98">
        <v>3</v>
      </c>
      <c r="L98">
        <v>2983.55</v>
      </c>
      <c r="M98">
        <v>40224.15</v>
      </c>
    </row>
    <row r="99" spans="2:13" x14ac:dyDescent="0.25">
      <c r="B99">
        <v>43500</v>
      </c>
      <c r="C99" s="1">
        <v>44812</v>
      </c>
      <c r="D99">
        <v>9876</v>
      </c>
      <c r="E99">
        <v>-2354</v>
      </c>
      <c r="F99">
        <v>74942</v>
      </c>
      <c r="G99">
        <v>0.4</v>
      </c>
      <c r="H99">
        <v>40224.15</v>
      </c>
      <c r="I99">
        <v>0</v>
      </c>
      <c r="J99">
        <v>0</v>
      </c>
      <c r="K99">
        <v>0</v>
      </c>
      <c r="L99">
        <v>0</v>
      </c>
      <c r="M99">
        <v>40224.15</v>
      </c>
    </row>
    <row r="100" spans="2:13" x14ac:dyDescent="0.25">
      <c r="B100">
        <v>44000</v>
      </c>
      <c r="C100" s="1">
        <v>44812</v>
      </c>
      <c r="D100">
        <v>13159</v>
      </c>
      <c r="E100">
        <v>-6627</v>
      </c>
      <c r="F100">
        <v>108507</v>
      </c>
      <c r="G100">
        <v>0.45</v>
      </c>
      <c r="H100">
        <v>40224.15</v>
      </c>
      <c r="I100">
        <v>1</v>
      </c>
      <c r="J100">
        <v>0</v>
      </c>
      <c r="K100">
        <v>1</v>
      </c>
      <c r="L100">
        <v>4070</v>
      </c>
      <c r="M100">
        <v>40224.15</v>
      </c>
    </row>
    <row r="101" spans="2:13" x14ac:dyDescent="0.25">
      <c r="B101">
        <v>44500</v>
      </c>
      <c r="C101" s="1">
        <v>44812</v>
      </c>
      <c r="D101">
        <v>31916</v>
      </c>
      <c r="E101">
        <v>-988</v>
      </c>
      <c r="F101">
        <v>84992</v>
      </c>
      <c r="G101">
        <v>0.65</v>
      </c>
      <c r="H101">
        <v>40224.15</v>
      </c>
      <c r="I101">
        <v>0</v>
      </c>
      <c r="J101">
        <v>0</v>
      </c>
      <c r="K101">
        <v>0</v>
      </c>
      <c r="L101">
        <v>0</v>
      </c>
      <c r="M101">
        <v>40224.15</v>
      </c>
    </row>
    <row r="102" spans="2:13" x14ac:dyDescent="0.25">
      <c r="B102">
        <v>45000</v>
      </c>
      <c r="C102" s="1">
        <v>44812</v>
      </c>
      <c r="D102">
        <v>31977</v>
      </c>
      <c r="E102">
        <v>2206</v>
      </c>
      <c r="F102">
        <v>114399</v>
      </c>
      <c r="G102">
        <v>0.6</v>
      </c>
      <c r="H102">
        <v>40224.15</v>
      </c>
      <c r="I102">
        <v>0</v>
      </c>
      <c r="J102">
        <v>0</v>
      </c>
      <c r="K102">
        <v>0</v>
      </c>
      <c r="L102">
        <v>0</v>
      </c>
      <c r="M102">
        <v>40224.15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A7D-28E0-4AD2-8F19-CC67FCE36FB6}">
  <sheetPr codeName="Sheet3"/>
  <dimension ref="A1:B15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 t="s">
        <v>39</v>
      </c>
    </row>
    <row r="6" spans="1:2" x14ac:dyDescent="0.25">
      <c r="B6" t="s">
        <v>38</v>
      </c>
    </row>
    <row r="7" spans="1:2" x14ac:dyDescent="0.25">
      <c r="B7" t="str">
        <f>B13&amp;"; "&amp;B14&amp;"; "&amp;B15</f>
        <v>nsit=zQkTwsh5RZAr_DJq5mn-mrAq; nseappid=eyJhbGciOiJIUzI1NiIsInR5cCI6IkpXVCJ9.eyJpc3MiOiJhcGkubnNlIiwiYXVkIjoiYXBpLm5zZSIsImlhdCI6MTY0NTIxOTEyMywiZXhwIjoxNjQ1MjIyNzIzfQ.ZexQoi8SSgt4jW4-u0L6a2d0LlUfjMd7gLlga1P714o; bm_sv=40661B9A6E71502197842D3907EC31E8~zo59wVx7QVSSOZyZZVLJQ+eM4Er6LL3MZSK4vvGp7Xd/Ql+UOnJRPfNy4YI8TABL8c40VeNkYWC4ss4don2P+SVe/QRZlwu/gm7zuN1nicU5mKzPXqXeVbWFbL/6JVPlj+sMnkiLLJvKgb3lUTVqecD2l1em9HjWPKbILS04p4A=</v>
      </c>
    </row>
    <row r="8" spans="1:2" x14ac:dyDescent="0.25">
      <c r="B8" t="s">
        <v>2</v>
      </c>
    </row>
    <row r="13" spans="1:2" x14ac:dyDescent="0.25">
      <c r="B13" t="s">
        <v>35</v>
      </c>
    </row>
    <row r="14" spans="1:2" x14ac:dyDescent="0.25">
      <c r="B14" t="s">
        <v>36</v>
      </c>
    </row>
    <row r="15" spans="1:2" x14ac:dyDescent="0.25">
      <c r="B15" t="s">
        <v>1</v>
      </c>
    </row>
  </sheetData>
  <dataValidations count="1">
    <dataValidation type="list" allowBlank="1" showInputMessage="1" showErrorMessage="1" sqref="A2" xr:uid="{4449448D-5C7D-4320-A42B-3FB3CE1B9432}">
      <formula1>$B$6:$B$8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4FA8-94B2-4C56-8E64-14540F67B542}">
  <sheetPr codeName="Sheet4"/>
  <dimension ref="A1:S72"/>
  <sheetViews>
    <sheetView tabSelected="1" topLeftCell="A15" workbookViewId="0">
      <selection activeCell="H30" sqref="H30"/>
    </sheetView>
  </sheetViews>
  <sheetFormatPr defaultRowHeight="15" x14ac:dyDescent="0.25"/>
  <cols>
    <col min="1" max="1" width="10.140625" customWidth="1"/>
    <col min="2" max="2" width="9.85546875" customWidth="1"/>
    <col min="3" max="4" width="10" customWidth="1"/>
    <col min="5" max="5" width="10.140625" customWidth="1"/>
    <col min="6" max="9" width="10" customWidth="1"/>
    <col min="10" max="10" width="11.42578125" customWidth="1"/>
    <col min="11" max="19" width="10" customWidth="1"/>
  </cols>
  <sheetData>
    <row r="1" spans="1:19" x14ac:dyDescent="0.25">
      <c r="A1" s="23" t="s">
        <v>19</v>
      </c>
      <c r="B1" s="23"/>
      <c r="C1" s="23"/>
      <c r="D1" s="23"/>
      <c r="E1" s="23"/>
      <c r="F1" s="23"/>
      <c r="G1" s="23"/>
      <c r="H1" s="23"/>
      <c r="I1" s="23"/>
      <c r="J1" s="18" t="s">
        <v>37</v>
      </c>
      <c r="K1" s="23" t="s">
        <v>25</v>
      </c>
      <c r="L1" s="23"/>
      <c r="M1" s="23"/>
      <c r="N1" s="23"/>
      <c r="O1" s="23"/>
      <c r="P1" s="23"/>
      <c r="Q1" s="23"/>
      <c r="R1" s="23"/>
      <c r="S1" s="23"/>
    </row>
    <row r="2" spans="1:19" x14ac:dyDescent="0.25">
      <c r="A2" s="24">
        <f>INDEX(Nifty[PE.underlyingValue],1)</f>
        <v>17773.650000000001</v>
      </c>
      <c r="B2" s="24"/>
      <c r="C2" s="24"/>
      <c r="D2" s="24"/>
      <c r="E2" s="24"/>
      <c r="F2" s="24"/>
      <c r="G2" s="24"/>
      <c r="H2" s="24"/>
      <c r="I2" s="24"/>
      <c r="J2" s="17">
        <f>(Nifty!C5)</f>
        <v>44812</v>
      </c>
      <c r="K2" s="24">
        <f>INDEX(BankNifty[PE.underlyingValue],1)</f>
        <v>40224.15</v>
      </c>
      <c r="L2" s="24"/>
      <c r="M2" s="24"/>
      <c r="N2" s="24"/>
      <c r="O2" s="24"/>
      <c r="P2" s="24"/>
      <c r="Q2" s="24"/>
      <c r="R2" s="24"/>
      <c r="S2" s="24"/>
    </row>
    <row r="4" spans="1:19" x14ac:dyDescent="0.25">
      <c r="A4" s="6" t="s">
        <v>15</v>
      </c>
      <c r="B4" s="6"/>
      <c r="C4" s="6"/>
      <c r="D4" s="6"/>
      <c r="F4" s="7" t="s">
        <v>22</v>
      </c>
      <c r="G4" s="7"/>
      <c r="H4" s="7"/>
      <c r="I4" s="7"/>
      <c r="K4" s="6" t="s">
        <v>23</v>
      </c>
      <c r="L4" s="6"/>
      <c r="M4" s="6"/>
      <c r="N4" s="6"/>
      <c r="P4" s="7" t="s">
        <v>24</v>
      </c>
      <c r="Q4" s="7"/>
      <c r="R4" s="7"/>
      <c r="S4" s="7"/>
    </row>
    <row r="5" spans="1:19" x14ac:dyDescent="0.25">
      <c r="A5" t="s">
        <v>16</v>
      </c>
      <c r="B5" t="s">
        <v>17</v>
      </c>
      <c r="C5" t="s">
        <v>18</v>
      </c>
      <c r="D5" t="s">
        <v>20</v>
      </c>
      <c r="E5" t="s">
        <v>21</v>
      </c>
      <c r="F5" t="s">
        <v>16</v>
      </c>
      <c r="G5" t="s">
        <v>17</v>
      </c>
      <c r="H5" t="s">
        <v>18</v>
      </c>
      <c r="I5" t="s">
        <v>20</v>
      </c>
      <c r="K5" t="s">
        <v>16</v>
      </c>
      <c r="L5" t="s">
        <v>17</v>
      </c>
      <c r="M5" t="s">
        <v>18</v>
      </c>
      <c r="N5" t="s">
        <v>20</v>
      </c>
      <c r="O5" t="s">
        <v>21</v>
      </c>
      <c r="P5" t="s">
        <v>16</v>
      </c>
      <c r="Q5" t="s">
        <v>17</v>
      </c>
      <c r="R5" t="s">
        <v>18</v>
      </c>
      <c r="S5" t="s">
        <v>20</v>
      </c>
    </row>
    <row r="6" spans="1:19" x14ac:dyDescent="0.25">
      <c r="A6" s="16">
        <f>SUMIFS(Nifty[CE.lastPrice],Nifty[strikePrice],Calculations!E6)</f>
        <v>418.55</v>
      </c>
      <c r="B6" s="16">
        <f>SUMIFS(Nifty[CE.openInterest],Nifty[strikePrice],Calculations!E6)</f>
        <v>871</v>
      </c>
      <c r="C6" s="16">
        <f>SUMIFS(Nifty[CE.changeinOpenInterest],Nifty[strikePrice],Calculations!E6)</f>
        <v>-363</v>
      </c>
      <c r="D6" s="16">
        <f>SUMIFS(Nifty[CE.totalTradedVolume],Nifty[strikePrice],Calculations!E6)</f>
        <v>1744</v>
      </c>
      <c r="E6">
        <f t="shared" ref="E6:E7" si="0">E7-50</f>
        <v>17350</v>
      </c>
      <c r="F6" s="16">
        <f>SUMIFS(Nifty[PE.lastPrice],Nifty[strikePrice],Calculations!E6)</f>
        <v>0.5</v>
      </c>
      <c r="G6" s="16">
        <f>SUMIFS(Nifty[PE.openInterest],Nifty[strikePrice],Calculations!E6)</f>
        <v>59911</v>
      </c>
      <c r="H6" s="16">
        <f>SUMIFS(Nifty[PE.changeinOpenInterest],Nifty[strikePrice],Calculations!E6)</f>
        <v>18533</v>
      </c>
      <c r="I6" s="16">
        <f>SUMIFS(Nifty[PE.totalTradedVolume],Nifty[strikePrice],Calculations!E6)</f>
        <v>606008</v>
      </c>
      <c r="K6" s="16">
        <f>SUMIFS(BankNifty[CE.lastPrice],BankNifty[strikePrice],Calculations!O6)</f>
        <v>814.25</v>
      </c>
      <c r="L6" s="16">
        <f>SUMIFS(BankNifty[CE.openInterest],BankNifty[strikePrice],Calculations!O6)</f>
        <v>7332</v>
      </c>
      <c r="M6" s="16">
        <f>SUMIFS(BankNifty[CE.changeinOpenInterest],BankNifty[strikePrice],Calculations!O6)</f>
        <v>-27023</v>
      </c>
      <c r="N6" s="16">
        <f>SUMIFS(BankNifty[CE.totalTradedVolume],BankNifty[strikePrice],Calculations!O6)</f>
        <v>282918</v>
      </c>
      <c r="O6">
        <f t="shared" ref="O6:O12" si="1">O7-100</f>
        <v>39400</v>
      </c>
      <c r="P6" s="16">
        <f>SUMIFS(BankNifty[PE.lastPrice],BankNifty[strikePrice],Calculations!O6)</f>
        <v>3</v>
      </c>
      <c r="Q6" s="16">
        <f>SUMIFS(BankNifty[PE.openInterest],BankNifty[strikePrice],Calculations!O6)</f>
        <v>80633</v>
      </c>
      <c r="R6" s="16">
        <f>SUMIFS(BankNifty[PE.changeinOpenInterest],BankNifty[strikePrice],Calculations!O6)</f>
        <v>24347</v>
      </c>
      <c r="S6" s="16">
        <f>SUMIFS(BankNifty[PE.totalTradedVolume],BankNifty[strikePrice],Calculations!O6)</f>
        <v>2381304</v>
      </c>
    </row>
    <row r="7" spans="1:19" x14ac:dyDescent="0.25">
      <c r="A7" s="16">
        <f>SUMIFS(Nifty[CE.lastPrice],Nifty[strikePrice],Calculations!E7)</f>
        <v>368.1</v>
      </c>
      <c r="B7" s="16">
        <f>SUMIFS(Nifty[CE.openInterest],Nifty[strikePrice],Calculations!E7)</f>
        <v>4762</v>
      </c>
      <c r="C7" s="16">
        <f>SUMIFS(Nifty[CE.changeinOpenInterest],Nifty[strikePrice],Calculations!E7)</f>
        <v>-3336</v>
      </c>
      <c r="D7" s="16">
        <f>SUMIFS(Nifty[CE.totalTradedVolume],Nifty[strikePrice],Calculations!E7)</f>
        <v>25599</v>
      </c>
      <c r="E7">
        <f t="shared" si="0"/>
        <v>17400</v>
      </c>
      <c r="F7" s="16">
        <f>SUMIFS(Nifty[PE.lastPrice],Nifty[strikePrice],Calculations!E7)</f>
        <v>0.55000000000000004</v>
      </c>
      <c r="G7" s="16">
        <f>SUMIFS(Nifty[PE.openInterest],Nifty[strikePrice],Calculations!E7)</f>
        <v>128901</v>
      </c>
      <c r="H7" s="16">
        <f>SUMIFS(Nifty[PE.changeinOpenInterest],Nifty[strikePrice],Calculations!E7)</f>
        <v>31061</v>
      </c>
      <c r="I7" s="16">
        <f>SUMIFS(Nifty[PE.totalTradedVolume],Nifty[strikePrice],Calculations!E7)</f>
        <v>1466931</v>
      </c>
      <c r="K7" s="16">
        <f>SUMIFS(BankNifty[CE.lastPrice],BankNifty[strikePrice],Calculations!O7)</f>
        <v>711.8</v>
      </c>
      <c r="L7" s="16">
        <f>SUMIFS(BankNifty[CE.openInterest],BankNifty[strikePrice],Calculations!O7)</f>
        <v>21338</v>
      </c>
      <c r="M7" s="16">
        <f>SUMIFS(BankNifty[CE.changeinOpenInterest],BankNifty[strikePrice],Calculations!O7)</f>
        <v>-107737</v>
      </c>
      <c r="N7" s="16">
        <f>SUMIFS(BankNifty[CE.totalTradedVolume],BankNifty[strikePrice],Calculations!O7)</f>
        <v>1037909</v>
      </c>
      <c r="O7">
        <f t="shared" si="1"/>
        <v>39500</v>
      </c>
      <c r="P7" s="16">
        <f>SUMIFS(BankNifty[PE.lastPrice],BankNifty[strikePrice],Calculations!O7)</f>
        <v>3.4</v>
      </c>
      <c r="Q7" s="16">
        <f>SUMIFS(BankNifty[PE.openInterest],BankNifty[strikePrice],Calculations!O7)</f>
        <v>157692</v>
      </c>
      <c r="R7" s="16">
        <f>SUMIFS(BankNifty[PE.changeinOpenInterest],BankNifty[strikePrice],Calculations!O7)</f>
        <v>67796</v>
      </c>
      <c r="S7" s="16">
        <f>SUMIFS(BankNifty[PE.totalTradedVolume],BankNifty[strikePrice],Calculations!O7)</f>
        <v>4516822</v>
      </c>
    </row>
    <row r="8" spans="1:19" x14ac:dyDescent="0.25">
      <c r="A8" s="16">
        <f>SUMIFS(Nifty[CE.lastPrice],Nifty[strikePrice],Calculations!E8)</f>
        <v>317.7</v>
      </c>
      <c r="B8" s="16">
        <f>SUMIFS(Nifty[CE.openInterest],Nifty[strikePrice],Calculations!E8)</f>
        <v>1477</v>
      </c>
      <c r="C8" s="16">
        <f>SUMIFS(Nifty[CE.changeinOpenInterest],Nifty[strikePrice],Calculations!E8)</f>
        <v>-946</v>
      </c>
      <c r="D8" s="16">
        <f>SUMIFS(Nifty[CE.totalTradedVolume],Nifty[strikePrice],Calculations!E8)</f>
        <v>12905</v>
      </c>
      <c r="E8">
        <f>E9-50</f>
        <v>17450</v>
      </c>
      <c r="F8" s="16">
        <f>SUMIFS(Nifty[PE.lastPrice],Nifty[strikePrice],Calculations!E8)</f>
        <v>0.6</v>
      </c>
      <c r="G8" s="16">
        <f>SUMIFS(Nifty[PE.openInterest],Nifty[strikePrice],Calculations!E8)</f>
        <v>41806</v>
      </c>
      <c r="H8" s="16">
        <f>SUMIFS(Nifty[PE.changeinOpenInterest],Nifty[strikePrice],Calculations!E8)</f>
        <v>1734</v>
      </c>
      <c r="I8" s="16">
        <f>SUMIFS(Nifty[PE.totalTradedVolume],Nifty[strikePrice],Calculations!E8)</f>
        <v>956115</v>
      </c>
      <c r="K8" s="16">
        <f>SUMIFS(BankNifty[CE.lastPrice],BankNifty[strikePrice],Calculations!O8)</f>
        <v>612.1</v>
      </c>
      <c r="L8" s="16">
        <f>SUMIFS(BankNifty[CE.openInterest],BankNifty[strikePrice],Calculations!O8)</f>
        <v>21539</v>
      </c>
      <c r="M8" s="16">
        <f>SUMIFS(BankNifty[CE.changeinOpenInterest],BankNifty[strikePrice],Calculations!O8)</f>
        <v>-33802</v>
      </c>
      <c r="N8" s="16">
        <f>SUMIFS(BankNifty[CE.totalTradedVolume],BankNifty[strikePrice],Calculations!O8)</f>
        <v>993007</v>
      </c>
      <c r="O8">
        <f t="shared" si="1"/>
        <v>39600</v>
      </c>
      <c r="P8" s="16">
        <f>SUMIFS(BankNifty[PE.lastPrice],BankNifty[strikePrice],Calculations!O8)</f>
        <v>3.85</v>
      </c>
      <c r="Q8" s="16">
        <f>SUMIFS(BankNifty[PE.openInterest],BankNifty[strikePrice],Calculations!O8)</f>
        <v>85464</v>
      </c>
      <c r="R8" s="16">
        <f>SUMIFS(BankNifty[PE.changeinOpenInterest],BankNifty[strikePrice],Calculations!O8)</f>
        <v>66259</v>
      </c>
      <c r="S8" s="16">
        <f>SUMIFS(BankNifty[PE.totalTradedVolume],BankNifty[strikePrice],Calculations!O8)</f>
        <v>3505927</v>
      </c>
    </row>
    <row r="9" spans="1:19" x14ac:dyDescent="0.25">
      <c r="A9" s="16">
        <f>SUMIFS(Nifty[CE.lastPrice],Nifty[strikePrice],Calculations!E9)</f>
        <v>269.5</v>
      </c>
      <c r="B9" s="16">
        <f>SUMIFS(Nifty[CE.openInterest],Nifty[strikePrice],Calculations!E9)</f>
        <v>19768</v>
      </c>
      <c r="C9" s="16">
        <f>SUMIFS(Nifty[CE.changeinOpenInterest],Nifty[strikePrice],Calculations!E9)</f>
        <v>-18362</v>
      </c>
      <c r="D9" s="16">
        <f>SUMIFS(Nifty[CE.totalTradedVolume],Nifty[strikePrice],Calculations!E9)</f>
        <v>178387</v>
      </c>
      <c r="E9">
        <f t="shared" ref="E9:E12" si="2">E10-50</f>
        <v>17500</v>
      </c>
      <c r="F9" s="16">
        <f>SUMIFS(Nifty[PE.lastPrice],Nifty[strikePrice],Calculations!E9)</f>
        <v>0.75</v>
      </c>
      <c r="G9" s="16">
        <f>SUMIFS(Nifty[PE.openInterest],Nifty[strikePrice],Calculations!E9)</f>
        <v>147660</v>
      </c>
      <c r="H9" s="16">
        <f>SUMIFS(Nifty[PE.changeinOpenInterest],Nifty[strikePrice],Calculations!E9)</f>
        <v>-8841</v>
      </c>
      <c r="I9" s="16">
        <f>SUMIFS(Nifty[PE.totalTradedVolume],Nifty[strikePrice],Calculations!E9)</f>
        <v>2897604</v>
      </c>
      <c r="K9" s="16">
        <f>SUMIFS(BankNifty[CE.lastPrice],BankNifty[strikePrice],Calculations!O9)</f>
        <v>516.35</v>
      </c>
      <c r="L9" s="16">
        <f>SUMIFS(BankNifty[CE.openInterest],BankNifty[strikePrice],Calculations!O9)</f>
        <v>16110</v>
      </c>
      <c r="M9" s="16">
        <f>SUMIFS(BankNifty[CE.changeinOpenInterest],BankNifty[strikePrice],Calculations!O9)</f>
        <v>-37442</v>
      </c>
      <c r="N9" s="16">
        <f>SUMIFS(BankNifty[CE.totalTradedVolume],BankNifty[strikePrice],Calculations!O9)</f>
        <v>1965137</v>
      </c>
      <c r="O9">
        <f t="shared" si="1"/>
        <v>39700</v>
      </c>
      <c r="P9" s="16">
        <f>SUMIFS(BankNifty[PE.lastPrice],BankNifty[strikePrice],Calculations!O9)</f>
        <v>4.7</v>
      </c>
      <c r="Q9" s="16">
        <f>SUMIFS(BankNifty[PE.openInterest],BankNifty[strikePrice],Calculations!O9)</f>
        <v>112281</v>
      </c>
      <c r="R9" s="16">
        <f>SUMIFS(BankNifty[PE.changeinOpenInterest],BankNifty[strikePrice],Calculations!O9)</f>
        <v>98116</v>
      </c>
      <c r="S9" s="16">
        <f>SUMIFS(BankNifty[PE.totalTradedVolume],BankNifty[strikePrice],Calculations!O9)</f>
        <v>4939847</v>
      </c>
    </row>
    <row r="10" spans="1:19" x14ac:dyDescent="0.25">
      <c r="A10" s="16">
        <f>SUMIFS(Nifty[CE.lastPrice],Nifty[strikePrice],Calculations!E10)</f>
        <v>218</v>
      </c>
      <c r="B10" s="16">
        <f>SUMIFS(Nifty[CE.openInterest],Nifty[strikePrice],Calculations!E10)</f>
        <v>6463</v>
      </c>
      <c r="C10" s="16">
        <f>SUMIFS(Nifty[CE.changeinOpenInterest],Nifty[strikePrice],Calculations!E10)</f>
        <v>-8545</v>
      </c>
      <c r="D10" s="16">
        <f>SUMIFS(Nifty[CE.totalTradedVolume],Nifty[strikePrice],Calculations!E10)</f>
        <v>129496</v>
      </c>
      <c r="E10">
        <f t="shared" si="2"/>
        <v>17550</v>
      </c>
      <c r="F10" s="16">
        <f>SUMIFS(Nifty[PE.lastPrice],Nifty[strikePrice],Calculations!E10)</f>
        <v>0.9</v>
      </c>
      <c r="G10" s="16">
        <f>SUMIFS(Nifty[PE.openInterest],Nifty[strikePrice],Calculations!E10)</f>
        <v>68628</v>
      </c>
      <c r="H10" s="16">
        <f>SUMIFS(Nifty[PE.changeinOpenInterest],Nifty[strikePrice],Calculations!E10)</f>
        <v>16949</v>
      </c>
      <c r="I10" s="16">
        <f>SUMIFS(Nifty[PE.totalTradedVolume],Nifty[strikePrice],Calculations!E10)</f>
        <v>1984311</v>
      </c>
      <c r="K10" s="16">
        <f>SUMIFS(BankNifty[CE.lastPrice],BankNifty[strikePrice],Calculations!O10)</f>
        <v>416.7</v>
      </c>
      <c r="L10" s="16">
        <f>SUMIFS(BankNifty[CE.openInterest],BankNifty[strikePrice],Calculations!O10)</f>
        <v>33942</v>
      </c>
      <c r="M10" s="16">
        <f>SUMIFS(BankNifty[CE.changeinOpenInterest],BankNifty[strikePrice],Calculations!O10)</f>
        <v>-30956</v>
      </c>
      <c r="N10" s="16">
        <f>SUMIFS(BankNifty[CE.totalTradedVolume],BankNifty[strikePrice],Calculations!O10)</f>
        <v>3640375</v>
      </c>
      <c r="O10">
        <f t="shared" si="1"/>
        <v>39800</v>
      </c>
      <c r="P10" s="16">
        <f>SUMIFS(BankNifty[PE.lastPrice],BankNifty[strikePrice],Calculations!O10)</f>
        <v>5.9</v>
      </c>
      <c r="Q10" s="16">
        <f>SUMIFS(BankNifty[PE.openInterest],BankNifty[strikePrice],Calculations!O10)</f>
        <v>151999</v>
      </c>
      <c r="R10" s="16">
        <f>SUMIFS(BankNifty[PE.changeinOpenInterest],BankNifty[strikePrice],Calculations!O10)</f>
        <v>141816</v>
      </c>
      <c r="S10" s="16">
        <f>SUMIFS(BankNifty[PE.totalTradedVolume],BankNifty[strikePrice],Calculations!O10)</f>
        <v>6376342</v>
      </c>
    </row>
    <row r="11" spans="1:19" x14ac:dyDescent="0.25">
      <c r="A11" s="16">
        <f>SUMIFS(Nifty[CE.lastPrice],Nifty[strikePrice],Calculations!E11)</f>
        <v>169.25</v>
      </c>
      <c r="B11" s="16">
        <f>SUMIFS(Nifty[CE.openInterest],Nifty[strikePrice],Calculations!E11)</f>
        <v>32246</v>
      </c>
      <c r="C11" s="16">
        <f>SUMIFS(Nifty[CE.changeinOpenInterest],Nifty[strikePrice],Calculations!E11)</f>
        <v>-58548</v>
      </c>
      <c r="D11" s="16">
        <f>SUMIFS(Nifty[CE.totalTradedVolume],Nifty[strikePrice],Calculations!E11)</f>
        <v>873156</v>
      </c>
      <c r="E11">
        <f t="shared" si="2"/>
        <v>17600</v>
      </c>
      <c r="F11" s="16">
        <f>SUMIFS(Nifty[PE.lastPrice],Nifty[strikePrice],Calculations!E11)</f>
        <v>1.05</v>
      </c>
      <c r="G11" s="16">
        <f>SUMIFS(Nifty[PE.openInterest],Nifty[strikePrice],Calculations!E11)</f>
        <v>164053</v>
      </c>
      <c r="H11" s="16">
        <f>SUMIFS(Nifty[PE.changeinOpenInterest],Nifty[strikePrice],Calculations!E11)</f>
        <v>59915</v>
      </c>
      <c r="I11" s="16">
        <f>SUMIFS(Nifty[PE.totalTradedVolume],Nifty[strikePrice],Calculations!E11)</f>
        <v>4751702</v>
      </c>
      <c r="K11" s="16">
        <f>SUMIFS(BankNifty[CE.lastPrice],BankNifty[strikePrice],Calculations!O11)</f>
        <v>319</v>
      </c>
      <c r="L11" s="16">
        <f>SUMIFS(BankNifty[CE.openInterest],BankNifty[strikePrice],Calculations!O11)</f>
        <v>29678</v>
      </c>
      <c r="M11" s="16">
        <f>SUMIFS(BankNifty[CE.changeinOpenInterest],BankNifty[strikePrice],Calculations!O11)</f>
        <v>-33551</v>
      </c>
      <c r="N11" s="16">
        <f>SUMIFS(BankNifty[CE.totalTradedVolume],BankNifty[strikePrice],Calculations!O11)</f>
        <v>5085204</v>
      </c>
      <c r="O11">
        <f t="shared" si="1"/>
        <v>39900</v>
      </c>
      <c r="P11" s="16">
        <f>SUMIFS(BankNifty[PE.lastPrice],BankNifty[strikePrice],Calculations!O11)</f>
        <v>8.5</v>
      </c>
      <c r="Q11" s="16">
        <f>SUMIFS(BankNifty[PE.openInterest],BankNifty[strikePrice],Calculations!O11)</f>
        <v>175375</v>
      </c>
      <c r="R11" s="16">
        <f>SUMIFS(BankNifty[PE.changeinOpenInterest],BankNifty[strikePrice],Calculations!O11)</f>
        <v>168582</v>
      </c>
      <c r="S11" s="16">
        <f>SUMIFS(BankNifty[PE.totalTradedVolume],BankNifty[strikePrice],Calculations!O11)</f>
        <v>6531735</v>
      </c>
    </row>
    <row r="12" spans="1:19" x14ac:dyDescent="0.25">
      <c r="A12" s="16">
        <f>SUMIFS(Nifty[CE.lastPrice],Nifty[strikePrice],Calculations!E12)</f>
        <v>119.75</v>
      </c>
      <c r="B12" s="16">
        <f>SUMIFS(Nifty[CE.openInterest],Nifty[strikePrice],Calculations!E12)</f>
        <v>17550</v>
      </c>
      <c r="C12" s="16">
        <f>SUMIFS(Nifty[CE.changeinOpenInterest],Nifty[strikePrice],Calculations!E12)</f>
        <v>-49116</v>
      </c>
      <c r="D12" s="16">
        <f>SUMIFS(Nifty[CE.totalTradedVolume],Nifty[strikePrice],Calculations!E12)</f>
        <v>918951</v>
      </c>
      <c r="E12">
        <f t="shared" si="2"/>
        <v>17650</v>
      </c>
      <c r="F12" s="16">
        <f>SUMIFS(Nifty[PE.lastPrice],Nifty[strikePrice],Calculations!E12)</f>
        <v>1.55</v>
      </c>
      <c r="G12" s="16">
        <f>SUMIFS(Nifty[PE.openInterest],Nifty[strikePrice],Calculations!E12)</f>
        <v>86475</v>
      </c>
      <c r="H12" s="16">
        <f>SUMIFS(Nifty[PE.changeinOpenInterest],Nifty[strikePrice],Calculations!E12)</f>
        <v>59855</v>
      </c>
      <c r="I12" s="16">
        <f>SUMIFS(Nifty[PE.totalTradedVolume],Nifty[strikePrice],Calculations!E12)</f>
        <v>3654907</v>
      </c>
      <c r="K12" s="16">
        <f>SUMIFS(BankNifty[CE.lastPrice],BankNifty[strikePrice],Calculations!O12)</f>
        <v>225.25</v>
      </c>
      <c r="L12" s="16">
        <f>SUMIFS(BankNifty[CE.openInterest],BankNifty[strikePrice],Calculations!O12)</f>
        <v>91596</v>
      </c>
      <c r="M12" s="16">
        <f>SUMIFS(BankNifty[CE.changeinOpenInterest],BankNifty[strikePrice],Calculations!O12)</f>
        <v>-43540</v>
      </c>
      <c r="N12" s="16">
        <f>SUMIFS(BankNifty[CE.totalTradedVolume],BankNifty[strikePrice],Calculations!O12)</f>
        <v>10938859</v>
      </c>
      <c r="O12">
        <f t="shared" si="1"/>
        <v>40000</v>
      </c>
      <c r="P12" s="16">
        <f>SUMIFS(BankNifty[PE.lastPrice],BankNifty[strikePrice],Calculations!O12)</f>
        <v>15.05</v>
      </c>
      <c r="Q12" s="16">
        <f>SUMIFS(BankNifty[PE.openInterest],BankNifty[strikePrice],Calculations!O12)</f>
        <v>251809</v>
      </c>
      <c r="R12" s="16">
        <f>SUMIFS(BankNifty[PE.changeinOpenInterest],BankNifty[strikePrice],Calculations!O12)</f>
        <v>238282</v>
      </c>
      <c r="S12" s="16">
        <f>SUMIFS(BankNifty[PE.totalTradedVolume],BankNifty[strikePrice],Calculations!O12)</f>
        <v>8569292</v>
      </c>
    </row>
    <row r="13" spans="1:19" x14ac:dyDescent="0.25">
      <c r="A13" s="16">
        <f>SUMIFS(Nifty[CE.lastPrice],Nifty[strikePrice],Calculations!E13)</f>
        <v>72.349999999999994</v>
      </c>
      <c r="B13" s="16">
        <f>SUMIFS(Nifty[CE.openInterest],Nifty[strikePrice],Calculations!E13)</f>
        <v>94213</v>
      </c>
      <c r="C13" s="16">
        <f>SUMIFS(Nifty[CE.changeinOpenInterest],Nifty[strikePrice],Calculations!E13)</f>
        <v>-32733</v>
      </c>
      <c r="D13" s="16">
        <f>SUMIFS(Nifty[CE.totalTradedVolume],Nifty[strikePrice],Calculations!E13)</f>
        <v>4028592</v>
      </c>
      <c r="E13">
        <f>E14-50</f>
        <v>17700</v>
      </c>
      <c r="F13" s="16">
        <f>SUMIFS(Nifty[PE.lastPrice],Nifty[strikePrice],Calculations!E13)</f>
        <v>4.1500000000000004</v>
      </c>
      <c r="G13" s="16">
        <f>SUMIFS(Nifty[PE.openInterest],Nifty[strikePrice],Calculations!E13)</f>
        <v>216803</v>
      </c>
      <c r="H13" s="16">
        <f>SUMIFS(Nifty[PE.changeinOpenInterest],Nifty[strikePrice],Calculations!E13)</f>
        <v>185787</v>
      </c>
      <c r="I13" s="16">
        <f>SUMIFS(Nifty[PE.totalTradedVolume],Nifty[strikePrice],Calculations!E13)</f>
        <v>7571426</v>
      </c>
      <c r="K13" s="16">
        <f>SUMIFS(BankNifty[CE.lastPrice],BankNifty[strikePrice],Calculations!O13)</f>
        <v>137.9</v>
      </c>
      <c r="L13" s="16">
        <f>SUMIFS(BankNifty[CE.openInterest],BankNifty[strikePrice],Calculations!O13)</f>
        <v>76970</v>
      </c>
      <c r="M13" s="16">
        <f>SUMIFS(BankNifty[CE.changeinOpenInterest],BankNifty[strikePrice],Calculations!O13)</f>
        <v>13976</v>
      </c>
      <c r="N13" s="16">
        <f>SUMIFS(BankNifty[CE.totalTradedVolume],BankNifty[strikePrice],Calculations!O13)</f>
        <v>8264055</v>
      </c>
      <c r="O13">
        <f>O14-100</f>
        <v>40100</v>
      </c>
      <c r="P13" s="16">
        <f>SUMIFS(BankNifty[PE.lastPrice],BankNifty[strikePrice],Calculations!O13)</f>
        <v>27.8</v>
      </c>
      <c r="Q13" s="16">
        <f>SUMIFS(BankNifty[PE.openInterest],BankNifty[strikePrice],Calculations!O13)</f>
        <v>175583</v>
      </c>
      <c r="R13" s="16">
        <f>SUMIFS(BankNifty[PE.changeinOpenInterest],BankNifty[strikePrice],Calculations!O13)</f>
        <v>172926</v>
      </c>
      <c r="S13" s="16">
        <f>SUMIFS(BankNifty[PE.totalTradedVolume],BankNifty[strikePrice],Calculations!O13)</f>
        <v>4084406</v>
      </c>
    </row>
    <row r="14" spans="1:19" x14ac:dyDescent="0.25">
      <c r="A14" s="16">
        <f>SUMIFS(Nifty[CE.lastPrice],Nifty[strikePrice],Calculations!E14)</f>
        <v>30.8</v>
      </c>
      <c r="B14" s="16">
        <f>SUMIFS(Nifty[CE.openInterest],Nifty[strikePrice],Calculations!E14)</f>
        <v>133301</v>
      </c>
      <c r="C14" s="16">
        <f>SUMIFS(Nifty[CE.changeinOpenInterest],Nifty[strikePrice],Calculations!E14)</f>
        <v>70648</v>
      </c>
      <c r="D14" s="16">
        <f>SUMIFS(Nifty[CE.totalTradedVolume],Nifty[strikePrice],Calculations!E14)</f>
        <v>5618259</v>
      </c>
      <c r="E14" s="5">
        <f>MROUND(A2,50)</f>
        <v>17750</v>
      </c>
      <c r="F14" s="16">
        <f>SUMIFS(Nifty[PE.lastPrice],Nifty[strikePrice],Calculations!E14)</f>
        <v>12.75</v>
      </c>
      <c r="G14" s="16">
        <f>SUMIFS(Nifty[PE.openInterest],Nifty[strikePrice],Calculations!E14)</f>
        <v>145618</v>
      </c>
      <c r="H14" s="16">
        <f>SUMIFS(Nifty[PE.changeinOpenInterest],Nifty[strikePrice],Calculations!E14)</f>
        <v>140781</v>
      </c>
      <c r="I14" s="16">
        <f>SUMIFS(Nifty[PE.totalTradedVolume],Nifty[strikePrice],Calculations!E14)</f>
        <v>4693705</v>
      </c>
      <c r="K14" s="16">
        <f>SUMIFS(BankNifty[CE.lastPrice],BankNifty[strikePrice],Calculations!O14)</f>
        <v>68.05</v>
      </c>
      <c r="L14" s="16">
        <f>SUMIFS(BankNifty[CE.openInterest],BankNifty[strikePrice],Calculations!O14)</f>
        <v>178558</v>
      </c>
      <c r="M14" s="16">
        <f>SUMIFS(BankNifty[CE.changeinOpenInterest],BankNifty[strikePrice],Calculations!O14)</f>
        <v>107124</v>
      </c>
      <c r="N14" s="16">
        <f>SUMIFS(BankNifty[CE.totalTradedVolume],BankNifty[strikePrice],Calculations!O14)</f>
        <v>9134753</v>
      </c>
      <c r="O14" s="5">
        <f>MROUND(K2,100)</f>
        <v>40200</v>
      </c>
      <c r="P14" s="16">
        <f>SUMIFS(BankNifty[PE.lastPrice],BankNifty[strikePrice],Calculations!O14)</f>
        <v>58</v>
      </c>
      <c r="Q14" s="16">
        <f>SUMIFS(BankNifty[PE.openInterest],BankNifty[strikePrice],Calculations!O14)</f>
        <v>161455</v>
      </c>
      <c r="R14" s="16">
        <f>SUMIFS(BankNifty[PE.changeinOpenInterest],BankNifty[strikePrice],Calculations!O14)</f>
        <v>158600</v>
      </c>
      <c r="S14" s="16">
        <f>SUMIFS(BankNifty[PE.totalTradedVolume],BankNifty[strikePrice],Calculations!O14)</f>
        <v>2722944</v>
      </c>
    </row>
    <row r="15" spans="1:19" x14ac:dyDescent="0.25">
      <c r="A15" s="16">
        <f>SUMIFS(Nifty[CE.lastPrice],Nifty[strikePrice],Calculations!E15)</f>
        <v>8.25</v>
      </c>
      <c r="B15" s="16">
        <f>SUMIFS(Nifty[CE.openInterest],Nifty[strikePrice],Calculations!E15)</f>
        <v>303870</v>
      </c>
      <c r="C15" s="16">
        <f>SUMIFS(Nifty[CE.changeinOpenInterest],Nifty[strikePrice],Calculations!E15)</f>
        <v>170250</v>
      </c>
      <c r="D15" s="16">
        <f>SUMIFS(Nifty[CE.totalTradedVolume],Nifty[strikePrice],Calculations!E15)</f>
        <v>8429484</v>
      </c>
      <c r="E15">
        <f>E14+50</f>
        <v>17800</v>
      </c>
      <c r="F15" s="16">
        <f>SUMIFS(Nifty[PE.lastPrice],Nifty[strikePrice],Calculations!E15)</f>
        <v>40.049999999999997</v>
      </c>
      <c r="G15" s="16">
        <f>SUMIFS(Nifty[PE.openInterest],Nifty[strikePrice],Calculations!E15)</f>
        <v>72849</v>
      </c>
      <c r="H15" s="16">
        <f>SUMIFS(Nifty[PE.changeinOpenInterest],Nifty[strikePrice],Calculations!E15)</f>
        <v>62853</v>
      </c>
      <c r="I15" s="16">
        <f>SUMIFS(Nifty[PE.totalTradedVolume],Nifty[strikePrice],Calculations!E15)</f>
        <v>3119158</v>
      </c>
      <c r="K15" s="16">
        <f>SUMIFS(BankNifty[CE.lastPrice],BankNifty[strikePrice],Calculations!O15)</f>
        <v>25.15</v>
      </c>
      <c r="L15" s="16">
        <f>SUMIFS(BankNifty[CE.openInterest],BankNifty[strikePrice],Calculations!O15)</f>
        <v>176130</v>
      </c>
      <c r="M15" s="16">
        <f>SUMIFS(BankNifty[CE.changeinOpenInterest],BankNifty[strikePrice],Calculations!O15)</f>
        <v>119454</v>
      </c>
      <c r="N15" s="16">
        <f>SUMIFS(BankNifty[CE.totalTradedVolume],BankNifty[strikePrice],Calculations!O15)</f>
        <v>6989897</v>
      </c>
      <c r="O15">
        <f>O14+100</f>
        <v>40300</v>
      </c>
      <c r="P15" s="16">
        <f>SUMIFS(BankNifty[PE.lastPrice],BankNifty[strikePrice],Calculations!O15)</f>
        <v>115.35</v>
      </c>
      <c r="Q15" s="16">
        <f>SUMIFS(BankNifty[PE.openInterest],BankNifty[strikePrice],Calculations!O15)</f>
        <v>55088</v>
      </c>
      <c r="R15" s="16">
        <f>SUMIFS(BankNifty[PE.changeinOpenInterest],BankNifty[strikePrice],Calculations!O15)</f>
        <v>53655</v>
      </c>
      <c r="S15" s="16">
        <f>SUMIFS(BankNifty[PE.totalTradedVolume],BankNifty[strikePrice],Calculations!O15)</f>
        <v>1034997</v>
      </c>
    </row>
    <row r="16" spans="1:19" x14ac:dyDescent="0.25">
      <c r="A16" s="16">
        <f>SUMIFS(Nifty[CE.lastPrice],Nifty[strikePrice],Calculations!E16)</f>
        <v>1.4</v>
      </c>
      <c r="B16" s="16">
        <f>SUMIFS(Nifty[CE.openInterest],Nifty[strikePrice],Calculations!E16)</f>
        <v>153321</v>
      </c>
      <c r="C16" s="16">
        <f>SUMIFS(Nifty[CE.changeinOpenInterest],Nifty[strikePrice],Calculations!E16)</f>
        <v>73428</v>
      </c>
      <c r="D16" s="16">
        <f>SUMIFS(Nifty[CE.totalTradedVolume],Nifty[strikePrice],Calculations!E16)</f>
        <v>4063062</v>
      </c>
      <c r="E16">
        <f t="shared" ref="E16:E22" si="3">E15+50</f>
        <v>17850</v>
      </c>
      <c r="F16" s="16">
        <f>SUMIFS(Nifty[PE.lastPrice],Nifty[strikePrice],Calculations!E16)</f>
        <v>83.2</v>
      </c>
      <c r="G16" s="16">
        <f>SUMIFS(Nifty[PE.openInterest],Nifty[strikePrice],Calculations!E16)</f>
        <v>11197</v>
      </c>
      <c r="H16" s="16">
        <f>SUMIFS(Nifty[PE.changeinOpenInterest],Nifty[strikePrice],Calculations!E16)</f>
        <v>9948</v>
      </c>
      <c r="I16" s="16">
        <f>SUMIFS(Nifty[PE.totalTradedVolume],Nifty[strikePrice],Calculations!E16)</f>
        <v>607370</v>
      </c>
      <c r="K16" s="16">
        <f>SUMIFS(BankNifty[CE.lastPrice],BankNifty[strikePrice],Calculations!O16)</f>
        <v>6.55</v>
      </c>
      <c r="L16" s="16">
        <f>SUMIFS(BankNifty[CE.openInterest],BankNifty[strikePrice],Calculations!O16)</f>
        <v>133169</v>
      </c>
      <c r="M16" s="16">
        <f>SUMIFS(BankNifty[CE.changeinOpenInterest],BankNifty[strikePrice],Calculations!O16)</f>
        <v>80731</v>
      </c>
      <c r="N16" s="16">
        <f>SUMIFS(BankNifty[CE.totalTradedVolume],BankNifty[strikePrice],Calculations!O16)</f>
        <v>4251122</v>
      </c>
      <c r="O16">
        <f t="shared" ref="O16:O22" si="4">O15+100</f>
        <v>40400</v>
      </c>
      <c r="P16" s="16">
        <f>SUMIFS(BankNifty[PE.lastPrice],BankNifty[strikePrice],Calculations!O16)</f>
        <v>196</v>
      </c>
      <c r="Q16" s="16">
        <f>SUMIFS(BankNifty[PE.openInterest],BankNifty[strikePrice],Calculations!O16)</f>
        <v>15600</v>
      </c>
      <c r="R16" s="16">
        <f>SUMIFS(BankNifty[PE.changeinOpenInterest],BankNifty[strikePrice],Calculations!O16)</f>
        <v>14802</v>
      </c>
      <c r="S16" s="16">
        <f>SUMIFS(BankNifty[PE.totalTradedVolume],BankNifty[strikePrice],Calculations!O16)</f>
        <v>343548</v>
      </c>
    </row>
    <row r="17" spans="1:19" x14ac:dyDescent="0.25">
      <c r="A17" s="16">
        <f>SUMIFS(Nifty[CE.lastPrice],Nifty[strikePrice],Calculations!E17)</f>
        <v>0.4</v>
      </c>
      <c r="B17" s="16">
        <f>SUMIFS(Nifty[CE.openInterest],Nifty[strikePrice],Calculations!E17)</f>
        <v>163245</v>
      </c>
      <c r="C17" s="16">
        <f>SUMIFS(Nifty[CE.changeinOpenInterest],Nifty[strikePrice],Calculations!E17)</f>
        <v>23355</v>
      </c>
      <c r="D17" s="16">
        <f>SUMIFS(Nifty[CE.totalTradedVolume],Nifty[strikePrice],Calculations!E17)</f>
        <v>3710198</v>
      </c>
      <c r="E17">
        <f t="shared" si="3"/>
        <v>17900</v>
      </c>
      <c r="F17" s="16">
        <f>SUMIFS(Nifty[PE.lastPrice],Nifty[strikePrice],Calculations!E17)</f>
        <v>132.19999999999999</v>
      </c>
      <c r="G17" s="16">
        <f>SUMIFS(Nifty[PE.openInterest],Nifty[strikePrice],Calculations!E17)</f>
        <v>10570</v>
      </c>
      <c r="H17" s="16">
        <f>SUMIFS(Nifty[PE.changeinOpenInterest],Nifty[strikePrice],Calculations!E17)</f>
        <v>7129</v>
      </c>
      <c r="I17" s="16">
        <f>SUMIFS(Nifty[PE.totalTradedVolume],Nifty[strikePrice],Calculations!E17)</f>
        <v>438098</v>
      </c>
      <c r="K17" s="16">
        <f>SUMIFS(BankNifty[CE.lastPrice],BankNifty[strikePrice],Calculations!O17)</f>
        <v>3.1</v>
      </c>
      <c r="L17" s="16">
        <f>SUMIFS(BankNifty[CE.openInterest],BankNifty[strikePrice],Calculations!O17)</f>
        <v>176821</v>
      </c>
      <c r="M17" s="16">
        <f>SUMIFS(BankNifty[CE.changeinOpenInterest],BankNifty[strikePrice],Calculations!O17)</f>
        <v>69176</v>
      </c>
      <c r="N17" s="16">
        <f>SUMIFS(BankNifty[CE.totalTradedVolume],BankNifty[strikePrice],Calculations!O17)</f>
        <v>4316926</v>
      </c>
      <c r="O17">
        <f t="shared" si="4"/>
        <v>40500</v>
      </c>
      <c r="P17" s="16">
        <f>SUMIFS(BankNifty[PE.lastPrice],BankNifty[strikePrice],Calculations!O17)</f>
        <v>292.8</v>
      </c>
      <c r="Q17" s="16">
        <f>SUMIFS(BankNifty[PE.openInterest],BankNifty[strikePrice],Calculations!O17)</f>
        <v>16755</v>
      </c>
      <c r="R17" s="16">
        <f>SUMIFS(BankNifty[PE.changeinOpenInterest],BankNifty[strikePrice],Calculations!O17)</f>
        <v>15274</v>
      </c>
      <c r="S17" s="16">
        <f>SUMIFS(BankNifty[PE.totalTradedVolume],BankNifty[strikePrice],Calculations!O17)</f>
        <v>282526</v>
      </c>
    </row>
    <row r="18" spans="1:19" x14ac:dyDescent="0.25">
      <c r="A18" s="16">
        <f>SUMIFS(Nifty[CE.lastPrice],Nifty[strikePrice],Calculations!E18)</f>
        <v>0.25</v>
      </c>
      <c r="B18" s="16">
        <f>SUMIFS(Nifty[CE.openInterest],Nifty[strikePrice],Calculations!E18)</f>
        <v>92111</v>
      </c>
      <c r="C18" s="16">
        <f>SUMIFS(Nifty[CE.changeinOpenInterest],Nifty[strikePrice],Calculations!E18)</f>
        <v>29621</v>
      </c>
      <c r="D18" s="16">
        <f>SUMIFS(Nifty[CE.totalTradedVolume],Nifty[strikePrice],Calculations!E18)</f>
        <v>1388676</v>
      </c>
      <c r="E18">
        <f t="shared" si="3"/>
        <v>17950</v>
      </c>
      <c r="F18" s="16">
        <f>SUMIFS(Nifty[PE.lastPrice],Nifty[strikePrice],Calculations!E18)</f>
        <v>181.7</v>
      </c>
      <c r="G18" s="16">
        <f>SUMIFS(Nifty[PE.openInterest],Nifty[strikePrice],Calculations!E18)</f>
        <v>1374</v>
      </c>
      <c r="H18" s="16">
        <f>SUMIFS(Nifty[PE.changeinOpenInterest],Nifty[strikePrice],Calculations!E18)</f>
        <v>1005</v>
      </c>
      <c r="I18" s="16">
        <f>SUMIFS(Nifty[PE.totalTradedVolume],Nifty[strikePrice],Calculations!E18)</f>
        <v>58930</v>
      </c>
      <c r="K18" s="16">
        <f>SUMIFS(BankNifty[CE.lastPrice],BankNifty[strikePrice],Calculations!O18)</f>
        <v>1.7</v>
      </c>
      <c r="L18" s="16">
        <f>SUMIFS(BankNifty[CE.openInterest],BankNifty[strikePrice],Calculations!O18)</f>
        <v>80126</v>
      </c>
      <c r="M18" s="16">
        <f>SUMIFS(BankNifty[CE.changeinOpenInterest],BankNifty[strikePrice],Calculations!O18)</f>
        <v>42662</v>
      </c>
      <c r="N18" s="16">
        <f>SUMIFS(BankNifty[CE.totalTradedVolume],BankNifty[strikePrice],Calculations!O18)</f>
        <v>1611205</v>
      </c>
      <c r="O18">
        <f t="shared" si="4"/>
        <v>40600</v>
      </c>
      <c r="P18" s="16">
        <f>SUMIFS(BankNifty[PE.lastPrice],BankNifty[strikePrice],Calculations!O18)</f>
        <v>391.15</v>
      </c>
      <c r="Q18" s="16">
        <f>SUMIFS(BankNifty[PE.openInterest],BankNifty[strikePrice],Calculations!O18)</f>
        <v>3016</v>
      </c>
      <c r="R18" s="16">
        <f>SUMIFS(BankNifty[PE.changeinOpenInterest],BankNifty[strikePrice],Calculations!O18)</f>
        <v>2587</v>
      </c>
      <c r="S18" s="16">
        <f>SUMIFS(BankNifty[PE.totalTradedVolume],BankNifty[strikePrice],Calculations!O18)</f>
        <v>42566</v>
      </c>
    </row>
    <row r="19" spans="1:19" x14ac:dyDescent="0.25">
      <c r="A19" s="16">
        <f>SUMIFS(Nifty[CE.lastPrice],Nifty[strikePrice],Calculations!E19)</f>
        <v>0.2</v>
      </c>
      <c r="B19" s="16">
        <f>SUMIFS(Nifty[CE.openInterest],Nifty[strikePrice],Calculations!E19)</f>
        <v>226581</v>
      </c>
      <c r="C19" s="16">
        <f>SUMIFS(Nifty[CE.changeinOpenInterest],Nifty[strikePrice],Calculations!E19)</f>
        <v>634</v>
      </c>
      <c r="D19" s="16">
        <f>SUMIFS(Nifty[CE.totalTradedVolume],Nifty[strikePrice],Calculations!E19)</f>
        <v>2146025</v>
      </c>
      <c r="E19">
        <f t="shared" si="3"/>
        <v>18000</v>
      </c>
      <c r="F19" s="16">
        <f>SUMIFS(Nifty[PE.lastPrice],Nifty[strikePrice],Calculations!E19)</f>
        <v>233</v>
      </c>
      <c r="G19" s="16">
        <f>SUMIFS(Nifty[PE.openInterest],Nifty[strikePrice],Calculations!E19)</f>
        <v>3704</v>
      </c>
      <c r="H19" s="16">
        <f>SUMIFS(Nifty[PE.changeinOpenInterest],Nifty[strikePrice],Calculations!E19)</f>
        <v>-640</v>
      </c>
      <c r="I19" s="16">
        <f>SUMIFS(Nifty[PE.totalTradedVolume],Nifty[strikePrice],Calculations!E19)</f>
        <v>90928</v>
      </c>
      <c r="K19" s="16">
        <f>SUMIFS(BankNifty[CE.lastPrice],BankNifty[strikePrice],Calculations!O19)</f>
        <v>1.05</v>
      </c>
      <c r="L19" s="16">
        <f>SUMIFS(BankNifty[CE.openInterest],BankNifty[strikePrice],Calculations!O19)</f>
        <v>54019</v>
      </c>
      <c r="M19" s="16">
        <f>SUMIFS(BankNifty[CE.changeinOpenInterest],BankNifty[strikePrice],Calculations!O19)</f>
        <v>14457</v>
      </c>
      <c r="N19" s="16">
        <f>SUMIFS(BankNifty[CE.totalTradedVolume],BankNifty[strikePrice],Calculations!O19)</f>
        <v>1061834</v>
      </c>
      <c r="O19">
        <f t="shared" si="4"/>
        <v>40700</v>
      </c>
      <c r="P19" s="16">
        <f>SUMIFS(BankNifty[PE.lastPrice],BankNifty[strikePrice],Calculations!O19)</f>
        <v>491.95</v>
      </c>
      <c r="Q19" s="16">
        <f>SUMIFS(BankNifty[PE.openInterest],BankNifty[strikePrice],Calculations!O19)</f>
        <v>1167</v>
      </c>
      <c r="R19" s="16">
        <f>SUMIFS(BankNifty[PE.changeinOpenInterest],BankNifty[strikePrice],Calculations!O19)</f>
        <v>942</v>
      </c>
      <c r="S19" s="16">
        <f>SUMIFS(BankNifty[PE.totalTradedVolume],BankNifty[strikePrice],Calculations!O19)</f>
        <v>9221</v>
      </c>
    </row>
    <row r="20" spans="1:19" x14ac:dyDescent="0.25">
      <c r="A20" s="16">
        <f>SUMIFS(Nifty[CE.lastPrice],Nifty[strikePrice],Calculations!E20)</f>
        <v>0.15</v>
      </c>
      <c r="B20" s="16">
        <f>SUMIFS(Nifty[CE.openInterest],Nifty[strikePrice],Calculations!E20)</f>
        <v>41868</v>
      </c>
      <c r="C20" s="16">
        <f>SUMIFS(Nifty[CE.changeinOpenInterest],Nifty[strikePrice],Calculations!E20)</f>
        <v>-4129</v>
      </c>
      <c r="D20" s="16">
        <f>SUMIFS(Nifty[CE.totalTradedVolume],Nifty[strikePrice],Calculations!E20)</f>
        <v>545056</v>
      </c>
      <c r="E20">
        <f t="shared" si="3"/>
        <v>18050</v>
      </c>
      <c r="F20" s="16">
        <f>SUMIFS(Nifty[PE.lastPrice],Nifty[strikePrice],Calculations!E20)</f>
        <v>280</v>
      </c>
      <c r="G20" s="16">
        <f>SUMIFS(Nifty[PE.openInterest],Nifty[strikePrice],Calculations!E20)</f>
        <v>701</v>
      </c>
      <c r="H20" s="16">
        <f>SUMIFS(Nifty[PE.changeinOpenInterest],Nifty[strikePrice],Calculations!E20)</f>
        <v>546</v>
      </c>
      <c r="I20" s="16">
        <f>SUMIFS(Nifty[PE.totalTradedVolume],Nifty[strikePrice],Calculations!E20)</f>
        <v>8045</v>
      </c>
      <c r="K20" s="16">
        <f>SUMIFS(BankNifty[CE.lastPrice],BankNifty[strikePrice],Calculations!O20)</f>
        <v>0.9</v>
      </c>
      <c r="L20" s="16">
        <f>SUMIFS(BankNifty[CE.openInterest],BankNifty[strikePrice],Calculations!O20)</f>
        <v>46190</v>
      </c>
      <c r="M20" s="16">
        <f>SUMIFS(BankNifty[CE.changeinOpenInterest],BankNifty[strikePrice],Calculations!O20)</f>
        <v>13776</v>
      </c>
      <c r="N20" s="16">
        <f>SUMIFS(BankNifty[CE.totalTradedVolume],BankNifty[strikePrice],Calculations!O20)</f>
        <v>776549</v>
      </c>
      <c r="O20">
        <f t="shared" si="4"/>
        <v>40800</v>
      </c>
      <c r="P20" s="16">
        <f>SUMIFS(BankNifty[PE.lastPrice],BankNifty[strikePrice],Calculations!O20)</f>
        <v>590.9</v>
      </c>
      <c r="Q20" s="16">
        <f>SUMIFS(BankNifty[PE.openInterest],BankNifty[strikePrice],Calculations!O20)</f>
        <v>656</v>
      </c>
      <c r="R20" s="16">
        <f>SUMIFS(BankNifty[PE.changeinOpenInterest],BankNifty[strikePrice],Calculations!O20)</f>
        <v>335</v>
      </c>
      <c r="S20" s="16">
        <f>SUMIFS(BankNifty[PE.totalTradedVolume],BankNifty[strikePrice],Calculations!O20)</f>
        <v>4385</v>
      </c>
    </row>
    <row r="21" spans="1:19" x14ac:dyDescent="0.25">
      <c r="A21" s="16">
        <f>SUMIFS(Nifty[CE.lastPrice],Nifty[strikePrice],Calculations!E21)</f>
        <v>0.1</v>
      </c>
      <c r="B21" s="16">
        <f>SUMIFS(Nifty[CE.openInterest],Nifty[strikePrice],Calculations!E21)</f>
        <v>130081</v>
      </c>
      <c r="C21" s="16">
        <f>SUMIFS(Nifty[CE.changeinOpenInterest],Nifty[strikePrice],Calculations!E21)</f>
        <v>36303</v>
      </c>
      <c r="D21" s="16">
        <f>SUMIFS(Nifty[CE.totalTradedVolume],Nifty[strikePrice],Calculations!E21)</f>
        <v>802677</v>
      </c>
      <c r="E21">
        <f t="shared" si="3"/>
        <v>18100</v>
      </c>
      <c r="F21" s="16">
        <f>SUMIFS(Nifty[PE.lastPrice],Nifty[strikePrice],Calculations!E21)</f>
        <v>332.5</v>
      </c>
      <c r="G21" s="16">
        <f>SUMIFS(Nifty[PE.openInterest],Nifty[strikePrice],Calculations!E21)</f>
        <v>779</v>
      </c>
      <c r="H21" s="16">
        <f>SUMIFS(Nifty[PE.changeinOpenInterest],Nifty[strikePrice],Calculations!E21)</f>
        <v>-112</v>
      </c>
      <c r="I21" s="16">
        <f>SUMIFS(Nifty[PE.totalTradedVolume],Nifty[strikePrice],Calculations!E21)</f>
        <v>5232</v>
      </c>
      <c r="K21" s="16">
        <f>SUMIFS(BankNifty[CE.lastPrice],BankNifty[strikePrice],Calculations!O21)</f>
        <v>0.7</v>
      </c>
      <c r="L21" s="16">
        <f>SUMIFS(BankNifty[CE.openInterest],BankNifty[strikePrice],Calculations!O21)</f>
        <v>54848</v>
      </c>
      <c r="M21" s="16">
        <f>SUMIFS(BankNifty[CE.changeinOpenInterest],BankNifty[strikePrice],Calculations!O21)</f>
        <v>9107</v>
      </c>
      <c r="N21" s="16">
        <f>SUMIFS(BankNifty[CE.totalTradedVolume],BankNifty[strikePrice],Calculations!O21)</f>
        <v>530939</v>
      </c>
      <c r="O21">
        <f t="shared" si="4"/>
        <v>40900</v>
      </c>
      <c r="P21" s="16">
        <f>SUMIFS(BankNifty[PE.lastPrice],BankNifty[strikePrice],Calculations!O21)</f>
        <v>692.3</v>
      </c>
      <c r="Q21" s="16">
        <f>SUMIFS(BankNifty[PE.openInterest],BankNifty[strikePrice],Calculations!O21)</f>
        <v>326</v>
      </c>
      <c r="R21" s="16">
        <f>SUMIFS(BankNifty[PE.changeinOpenInterest],BankNifty[strikePrice],Calculations!O21)</f>
        <v>245</v>
      </c>
      <c r="S21" s="16">
        <f>SUMIFS(BankNifty[PE.totalTradedVolume],BankNifty[strikePrice],Calculations!O21)</f>
        <v>7175</v>
      </c>
    </row>
    <row r="22" spans="1:19" x14ac:dyDescent="0.25">
      <c r="A22" s="16">
        <f>SUMIFS(Nifty[CE.lastPrice],Nifty[strikePrice],Calculations!E22)</f>
        <v>0.1</v>
      </c>
      <c r="B22" s="16">
        <f>SUMIFS(Nifty[CE.openInterest],Nifty[strikePrice],Calculations!E22)</f>
        <v>22146</v>
      </c>
      <c r="C22" s="16">
        <f>SUMIFS(Nifty[CE.changeinOpenInterest],Nifty[strikePrice],Calculations!E22)</f>
        <v>-2200</v>
      </c>
      <c r="D22" s="16">
        <f>SUMIFS(Nifty[CE.totalTradedVolume],Nifty[strikePrice],Calculations!E22)</f>
        <v>145707</v>
      </c>
      <c r="E22">
        <f t="shared" si="3"/>
        <v>18150</v>
      </c>
      <c r="F22" s="16">
        <f>SUMIFS(Nifty[PE.lastPrice],Nifty[strikePrice],Calculations!E22)</f>
        <v>380.65</v>
      </c>
      <c r="G22" s="16">
        <f>SUMIFS(Nifty[PE.openInterest],Nifty[strikePrice],Calculations!E22)</f>
        <v>70</v>
      </c>
      <c r="H22" s="16">
        <f>SUMIFS(Nifty[PE.changeinOpenInterest],Nifty[strikePrice],Calculations!E22)</f>
        <v>35</v>
      </c>
      <c r="I22" s="16">
        <f>SUMIFS(Nifty[PE.totalTradedVolume],Nifty[strikePrice],Calculations!E22)</f>
        <v>422</v>
      </c>
      <c r="K22" s="16">
        <f>SUMIFS(BankNifty[CE.lastPrice],BankNifty[strikePrice],Calculations!O22)</f>
        <v>0.65</v>
      </c>
      <c r="L22" s="16">
        <f>SUMIFS(BankNifty[CE.openInterest],BankNifty[strikePrice],Calculations!O22)</f>
        <v>197837</v>
      </c>
      <c r="M22" s="16">
        <f>SUMIFS(BankNifty[CE.changeinOpenInterest],BankNifty[strikePrice],Calculations!O22)</f>
        <v>67494</v>
      </c>
      <c r="N22" s="16">
        <f>SUMIFS(BankNifty[CE.totalTradedVolume],BankNifty[strikePrice],Calculations!O22)</f>
        <v>1624854</v>
      </c>
      <c r="O22">
        <f t="shared" si="4"/>
        <v>41000</v>
      </c>
      <c r="P22" s="16">
        <f>SUMIFS(BankNifty[PE.lastPrice],BankNifty[strikePrice],Calculations!O22)</f>
        <v>792.2</v>
      </c>
      <c r="Q22" s="16">
        <f>SUMIFS(BankNifty[PE.openInterest],BankNifty[strikePrice],Calculations!O22)</f>
        <v>1185</v>
      </c>
      <c r="R22" s="16">
        <f>SUMIFS(BankNifty[PE.changeinOpenInterest],BankNifty[strikePrice],Calculations!O22)</f>
        <v>436</v>
      </c>
      <c r="S22" s="16">
        <f>SUMIFS(BankNifty[PE.totalTradedVolume],BankNifty[strikePrice],Calculations!O22)</f>
        <v>8845</v>
      </c>
    </row>
    <row r="24" spans="1:19" x14ac:dyDescent="0.25">
      <c r="A24" s="8" t="s">
        <v>26</v>
      </c>
      <c r="B24" s="8">
        <f>SUM(B6:B22)</f>
        <v>1443874</v>
      </c>
      <c r="C24" s="15">
        <f>SUM(C6:C22)</f>
        <v>225961</v>
      </c>
      <c r="D24" s="8">
        <f>SUM(D6:D22)</f>
        <v>33017974</v>
      </c>
      <c r="E24" s="8"/>
      <c r="F24" s="8"/>
      <c r="G24" s="9">
        <f>SUM(G6:G22)</f>
        <v>1161099</v>
      </c>
      <c r="H24" s="15">
        <f>SUM(H6:H22)</f>
        <v>586538</v>
      </c>
      <c r="I24" s="9">
        <f>SUM(I6:I22)</f>
        <v>32910892</v>
      </c>
      <c r="K24" s="8" t="s">
        <v>26</v>
      </c>
      <c r="L24" s="8">
        <f>SUM(L6:L22)</f>
        <v>1396203</v>
      </c>
      <c r="M24" s="15">
        <f>SUM(M6:M22)</f>
        <v>223906</v>
      </c>
      <c r="N24" s="8">
        <f>SUM(N6:N22)</f>
        <v>62505543</v>
      </c>
      <c r="O24" s="8"/>
      <c r="P24" s="8"/>
      <c r="Q24" s="8">
        <f>SUM(Q6:Q22)</f>
        <v>1446084</v>
      </c>
      <c r="R24" s="15">
        <f>SUM(R6:R22)</f>
        <v>1225000</v>
      </c>
      <c r="S24" s="8">
        <f>SUM(S6:S22)</f>
        <v>45361882</v>
      </c>
    </row>
    <row r="26" spans="1:19" x14ac:dyDescent="0.25">
      <c r="A26" s="19" t="s">
        <v>34</v>
      </c>
      <c r="B26" s="4"/>
      <c r="C26" s="4"/>
      <c r="D26">
        <f>H24-C24</f>
        <v>360577</v>
      </c>
      <c r="E26">
        <f>ABS(H24)/ABS(C24)</f>
        <v>2.5957488239120909</v>
      </c>
      <c r="F26" t="str">
        <f>IF(H24-C24&gt;0,"BUY","SELL")</f>
        <v>BUY</v>
      </c>
      <c r="K26" s="19" t="s">
        <v>34</v>
      </c>
      <c r="L26" s="4"/>
      <c r="M26" s="4"/>
      <c r="N26">
        <f>R24-M24</f>
        <v>1001094</v>
      </c>
      <c r="O26">
        <f>ABS(R24)/ABS(M24)</f>
        <v>5.4710458853268786</v>
      </c>
      <c r="P26" t="str">
        <f>IF(R24-M24&gt;0,"BUY","SELL")</f>
        <v>BUY</v>
      </c>
    </row>
    <row r="27" spans="1:19" x14ac:dyDescent="0.25">
      <c r="A27" s="22" t="s">
        <v>19</v>
      </c>
      <c r="B27" s="22"/>
      <c r="C27" s="22"/>
      <c r="D27" s="22"/>
      <c r="E27" s="22"/>
      <c r="F27" s="22"/>
      <c r="K27" s="22" t="s">
        <v>33</v>
      </c>
      <c r="L27" s="22"/>
      <c r="M27" s="22" t="s">
        <v>33</v>
      </c>
      <c r="N27" s="22"/>
      <c r="O27" s="22"/>
      <c r="P27" s="22"/>
    </row>
    <row r="28" spans="1:19" x14ac:dyDescent="0.25">
      <c r="A28" s="12" t="s">
        <v>27</v>
      </c>
      <c r="B28" s="12" t="s">
        <v>28</v>
      </c>
      <c r="C28" s="12" t="s">
        <v>29</v>
      </c>
      <c r="D28" s="12" t="s">
        <v>30</v>
      </c>
      <c r="E28" s="12" t="s">
        <v>31</v>
      </c>
      <c r="F28" s="12" t="s">
        <v>32</v>
      </c>
      <c r="K28" s="12" t="s">
        <v>27</v>
      </c>
      <c r="L28" s="12" t="s">
        <v>28</v>
      </c>
      <c r="M28" s="12" t="s">
        <v>29</v>
      </c>
      <c r="N28" s="12" t="s">
        <v>30</v>
      </c>
      <c r="O28" s="12" t="s">
        <v>31</v>
      </c>
      <c r="P28" s="12" t="s">
        <v>32</v>
      </c>
    </row>
    <row r="29" spans="1:19" x14ac:dyDescent="0.25">
      <c r="A29" s="10"/>
      <c r="D29" s="20"/>
      <c r="E29" s="20"/>
      <c r="F29" s="20"/>
      <c r="K29" s="10"/>
      <c r="N29" s="20"/>
      <c r="O29" s="20"/>
      <c r="P29" s="20"/>
    </row>
    <row r="30" spans="1:19" x14ac:dyDescent="0.25">
      <c r="A30" s="11"/>
      <c r="D30" s="20"/>
      <c r="E30" s="20"/>
      <c r="F30" s="20"/>
      <c r="K30" s="11"/>
      <c r="N30" s="20"/>
      <c r="O30" s="20"/>
      <c r="P30" s="20"/>
    </row>
    <row r="31" spans="1:19" x14ac:dyDescent="0.25">
      <c r="A31" s="10"/>
      <c r="B31" s="4"/>
      <c r="C31" s="4"/>
      <c r="D31" s="21"/>
      <c r="E31" s="20"/>
      <c r="F31" s="20"/>
      <c r="K31" s="10"/>
      <c r="N31" s="21"/>
      <c r="O31" s="20"/>
      <c r="P31" s="20"/>
    </row>
    <row r="32" spans="1:19" x14ac:dyDescent="0.25">
      <c r="A32" s="10"/>
      <c r="D32" s="20"/>
      <c r="E32" s="20"/>
      <c r="F32" s="20"/>
      <c r="K32" s="10"/>
      <c r="N32" s="21"/>
      <c r="O32" s="20"/>
      <c r="P32" s="20"/>
    </row>
    <row r="33" spans="1:16" x14ac:dyDescent="0.25">
      <c r="A33" s="10"/>
      <c r="D33" s="14"/>
      <c r="E33" s="14"/>
      <c r="F33" s="14"/>
      <c r="K33" s="10"/>
      <c r="N33" s="13"/>
      <c r="O33" s="14"/>
      <c r="P33" s="14"/>
    </row>
    <row r="34" spans="1:16" x14ac:dyDescent="0.25">
      <c r="A34" s="10"/>
      <c r="D34" s="14"/>
      <c r="E34" s="14"/>
      <c r="F34" s="14"/>
      <c r="K34" s="10"/>
      <c r="N34" s="13"/>
      <c r="O34" s="14"/>
      <c r="P34" s="14"/>
    </row>
    <row r="35" spans="1:16" x14ac:dyDescent="0.25">
      <c r="A35" s="10"/>
      <c r="D35" s="14"/>
      <c r="E35" s="14"/>
      <c r="F35" s="14"/>
      <c r="K35" s="10"/>
      <c r="N35" s="13"/>
      <c r="O35" s="14"/>
      <c r="P35" s="14"/>
    </row>
    <row r="36" spans="1:16" x14ac:dyDescent="0.25">
      <c r="A36" s="10"/>
      <c r="D36" s="14"/>
      <c r="E36" s="14"/>
      <c r="F36" s="14"/>
      <c r="K36" s="10"/>
      <c r="N36" s="13"/>
      <c r="O36" s="14"/>
      <c r="P36" s="14"/>
    </row>
    <row r="37" spans="1:16" x14ac:dyDescent="0.25">
      <c r="A37" s="10"/>
      <c r="D37" s="14"/>
      <c r="E37" s="14"/>
      <c r="F37" s="14"/>
      <c r="K37" s="10"/>
      <c r="N37" s="13"/>
      <c r="O37" s="14"/>
      <c r="P37" s="14"/>
    </row>
    <row r="38" spans="1:16" x14ac:dyDescent="0.25">
      <c r="A38" s="10"/>
      <c r="D38" s="14"/>
      <c r="E38" s="14"/>
      <c r="F38" s="14"/>
      <c r="K38" s="10"/>
      <c r="N38" s="13"/>
      <c r="O38" s="14"/>
      <c r="P38" s="14"/>
    </row>
    <row r="39" spans="1:16" x14ac:dyDescent="0.25">
      <c r="A39" s="10"/>
      <c r="D39" s="14"/>
      <c r="E39" s="14"/>
      <c r="F39" s="14"/>
      <c r="K39" s="10"/>
      <c r="N39" s="13"/>
      <c r="O39" s="14"/>
      <c r="P39" s="14"/>
    </row>
    <row r="40" spans="1:16" x14ac:dyDescent="0.25">
      <c r="A40" s="10"/>
      <c r="D40" s="14"/>
      <c r="E40" s="14"/>
      <c r="F40" s="14"/>
      <c r="K40" s="10"/>
      <c r="N40" s="13"/>
      <c r="O40" s="14"/>
      <c r="P40" s="14"/>
    </row>
    <row r="41" spans="1:16" x14ac:dyDescent="0.25">
      <c r="A41" s="10"/>
      <c r="D41" s="14"/>
      <c r="E41" s="14"/>
      <c r="F41" s="14"/>
      <c r="K41" s="10"/>
      <c r="N41" s="13"/>
      <c r="O41" s="14"/>
      <c r="P41" s="14"/>
    </row>
    <row r="42" spans="1:16" x14ac:dyDescent="0.25">
      <c r="A42" s="10"/>
      <c r="D42" s="14"/>
      <c r="E42" s="14"/>
      <c r="F42" s="14"/>
      <c r="K42" s="10"/>
      <c r="N42" s="13"/>
      <c r="O42" s="14"/>
      <c r="P42" s="14"/>
    </row>
    <row r="43" spans="1:16" x14ac:dyDescent="0.25">
      <c r="A43" s="10"/>
      <c r="D43" s="14"/>
      <c r="E43" s="14"/>
      <c r="F43" s="14"/>
      <c r="K43" s="10"/>
      <c r="N43" s="13"/>
      <c r="O43" s="14"/>
      <c r="P43" s="14"/>
    </row>
    <row r="44" spans="1:16" x14ac:dyDescent="0.25">
      <c r="A44" s="10"/>
      <c r="D44" s="14"/>
      <c r="E44" s="14"/>
      <c r="F44" s="14"/>
      <c r="K44" s="10"/>
      <c r="N44" s="13"/>
      <c r="O44" s="14"/>
      <c r="P44" s="14"/>
    </row>
    <row r="45" spans="1:16" x14ac:dyDescent="0.25">
      <c r="A45" s="10"/>
      <c r="D45" s="14"/>
      <c r="E45" s="14"/>
      <c r="F45" s="14"/>
      <c r="K45" s="10"/>
      <c r="N45" s="13"/>
      <c r="O45" s="14"/>
      <c r="P45" s="14"/>
    </row>
    <row r="46" spans="1:16" x14ac:dyDescent="0.25">
      <c r="A46" s="10"/>
      <c r="D46" s="14"/>
      <c r="E46" s="14"/>
      <c r="F46" s="14"/>
      <c r="K46" s="10"/>
      <c r="N46" s="13"/>
      <c r="O46" s="14"/>
      <c r="P46" s="14"/>
    </row>
    <row r="47" spans="1:16" x14ac:dyDescent="0.25">
      <c r="A47" s="10"/>
      <c r="D47" s="14"/>
      <c r="E47" s="14"/>
      <c r="F47" s="14"/>
      <c r="K47" s="10"/>
      <c r="N47" s="13"/>
      <c r="O47" s="14"/>
      <c r="P47" s="14"/>
    </row>
    <row r="48" spans="1:16" x14ac:dyDescent="0.25">
      <c r="A48" s="10"/>
      <c r="D48" s="14"/>
      <c r="E48" s="14"/>
      <c r="F48" s="14"/>
      <c r="K48" s="10"/>
      <c r="N48" s="13"/>
      <c r="O48" s="14"/>
      <c r="P48" s="14"/>
    </row>
    <row r="49" spans="1:16" x14ac:dyDescent="0.25">
      <c r="A49" s="10"/>
      <c r="D49" s="14"/>
      <c r="E49" s="14"/>
      <c r="F49" s="14"/>
      <c r="K49" s="10"/>
      <c r="N49" s="13"/>
      <c r="O49" s="14"/>
      <c r="P49" s="14"/>
    </row>
    <row r="50" spans="1:16" x14ac:dyDescent="0.25">
      <c r="A50" s="10"/>
      <c r="D50" s="14"/>
      <c r="E50" s="14"/>
      <c r="F50" s="14"/>
      <c r="K50" s="10"/>
      <c r="N50" s="13"/>
      <c r="O50" s="14"/>
      <c r="P50" s="14"/>
    </row>
    <row r="51" spans="1:16" x14ac:dyDescent="0.25">
      <c r="A51" s="10"/>
      <c r="D51" s="14"/>
      <c r="E51" s="14"/>
      <c r="F51" s="14"/>
      <c r="K51" s="10"/>
      <c r="N51" s="13"/>
      <c r="O51" s="14"/>
      <c r="P51" s="14"/>
    </row>
    <row r="52" spans="1:16" x14ac:dyDescent="0.25">
      <c r="A52" s="10"/>
      <c r="D52" s="14"/>
      <c r="E52" s="14"/>
      <c r="F52" s="14"/>
      <c r="K52" s="10"/>
      <c r="N52" s="13"/>
      <c r="O52" s="14"/>
      <c r="P52" s="14"/>
    </row>
    <row r="53" spans="1:16" x14ac:dyDescent="0.25">
      <c r="A53" s="10"/>
      <c r="D53" s="14"/>
      <c r="E53" s="14"/>
      <c r="F53" s="14"/>
      <c r="K53" s="10"/>
      <c r="N53" s="13"/>
      <c r="O53" s="14"/>
      <c r="P53" s="14"/>
    </row>
    <row r="54" spans="1:16" x14ac:dyDescent="0.25">
      <c r="A54" s="10"/>
      <c r="D54" s="14"/>
      <c r="E54" s="14"/>
      <c r="F54" s="14"/>
      <c r="K54" s="10"/>
      <c r="N54" s="13"/>
      <c r="O54" s="14"/>
      <c r="P54" s="14"/>
    </row>
    <row r="55" spans="1:16" x14ac:dyDescent="0.25">
      <c r="A55" s="11"/>
      <c r="D55" s="14"/>
      <c r="E55" s="14"/>
      <c r="F55" s="14"/>
      <c r="K55" s="11"/>
      <c r="N55" s="14"/>
      <c r="O55" s="14"/>
      <c r="P55" s="14"/>
    </row>
    <row r="56" spans="1:16" x14ac:dyDescent="0.25">
      <c r="A56" s="11"/>
      <c r="D56" s="14"/>
      <c r="E56" s="14"/>
      <c r="F56" s="14"/>
      <c r="K56" s="11"/>
      <c r="N56" s="14"/>
      <c r="O56" s="14"/>
      <c r="P56" s="14"/>
    </row>
    <row r="57" spans="1:16" x14ac:dyDescent="0.25">
      <c r="A57" s="11"/>
      <c r="D57" s="14"/>
      <c r="E57" s="14"/>
      <c r="F57" s="14"/>
      <c r="K57" s="11"/>
      <c r="N57" s="14"/>
      <c r="O57" s="14"/>
      <c r="P57" s="14"/>
    </row>
    <row r="58" spans="1:16" x14ac:dyDescent="0.25">
      <c r="A58" s="11"/>
      <c r="D58" s="14"/>
      <c r="E58" s="14"/>
      <c r="F58" s="14"/>
      <c r="K58" s="11"/>
      <c r="N58" s="14"/>
      <c r="O58" s="14"/>
      <c r="P58" s="14"/>
    </row>
    <row r="59" spans="1:16" x14ac:dyDescent="0.25">
      <c r="A59" s="11"/>
      <c r="D59" s="14"/>
      <c r="E59" s="14"/>
      <c r="F59" s="14"/>
      <c r="K59" s="11"/>
      <c r="N59" s="14"/>
      <c r="O59" s="14"/>
      <c r="P59" s="14"/>
    </row>
    <row r="60" spans="1:16" x14ac:dyDescent="0.25">
      <c r="A60" s="11"/>
      <c r="D60" s="14"/>
      <c r="E60" s="14"/>
      <c r="F60" s="14"/>
      <c r="K60" s="11"/>
      <c r="N60" s="14"/>
      <c r="O60" s="14"/>
      <c r="P60" s="14"/>
    </row>
    <row r="61" spans="1:16" x14ac:dyDescent="0.25">
      <c r="A61" s="11"/>
      <c r="D61" s="14"/>
      <c r="E61" s="14"/>
      <c r="F61" s="14"/>
      <c r="K61" s="11"/>
      <c r="N61" s="14"/>
      <c r="O61" s="14"/>
      <c r="P61" s="14"/>
    </row>
    <row r="62" spans="1:16" x14ac:dyDescent="0.25">
      <c r="A62" s="11"/>
      <c r="D62" s="14"/>
      <c r="E62" s="14"/>
      <c r="F62" s="14"/>
      <c r="K62" s="11"/>
      <c r="N62" s="14"/>
      <c r="O62" s="14"/>
      <c r="P62" s="14"/>
    </row>
    <row r="63" spans="1:16" x14ac:dyDescent="0.25">
      <c r="A63" s="11"/>
      <c r="D63" s="14"/>
      <c r="E63" s="14"/>
      <c r="F63" s="14"/>
      <c r="K63" s="11"/>
      <c r="N63" s="14"/>
      <c r="O63" s="14"/>
      <c r="P63" s="14"/>
    </row>
    <row r="64" spans="1:16" x14ac:dyDescent="0.25">
      <c r="A64" s="11"/>
      <c r="D64" s="14"/>
      <c r="E64" s="14"/>
      <c r="F64" s="14"/>
      <c r="K64" s="11"/>
      <c r="N64" s="14"/>
      <c r="O64" s="14"/>
      <c r="P64" s="14"/>
    </row>
    <row r="65" spans="1:16" x14ac:dyDescent="0.25">
      <c r="A65" s="11"/>
      <c r="D65" s="14"/>
      <c r="E65" s="14"/>
      <c r="F65" s="14"/>
      <c r="K65" s="11"/>
      <c r="N65" s="14"/>
      <c r="O65" s="14"/>
      <c r="P65" s="14"/>
    </row>
    <row r="66" spans="1:16" x14ac:dyDescent="0.25">
      <c r="A66" s="11"/>
      <c r="D66" s="14"/>
      <c r="E66" s="14"/>
      <c r="F66" s="14"/>
      <c r="K66" s="11"/>
      <c r="N66" s="14"/>
      <c r="O66" s="14"/>
      <c r="P66" s="14"/>
    </row>
    <row r="67" spans="1:16" x14ac:dyDescent="0.25">
      <c r="A67" s="11"/>
      <c r="D67" s="14"/>
      <c r="E67" s="14"/>
      <c r="F67" s="14"/>
      <c r="K67" s="11"/>
      <c r="N67" s="14"/>
      <c r="O67" s="14"/>
      <c r="P67" s="14"/>
    </row>
    <row r="68" spans="1:16" x14ac:dyDescent="0.25">
      <c r="A68" s="11"/>
      <c r="D68" s="14"/>
      <c r="E68" s="14"/>
      <c r="F68" s="14"/>
      <c r="K68" s="11"/>
      <c r="N68" s="14"/>
      <c r="O68" s="14"/>
      <c r="P68" s="14"/>
    </row>
    <row r="69" spans="1:16" x14ac:dyDescent="0.25">
      <c r="A69" s="11"/>
      <c r="D69" s="14"/>
      <c r="E69" s="14"/>
      <c r="F69" s="14"/>
      <c r="K69" s="11"/>
      <c r="N69" s="14"/>
      <c r="O69" s="14"/>
      <c r="P69" s="14"/>
    </row>
    <row r="70" spans="1:16" x14ac:dyDescent="0.25">
      <c r="A70" s="11"/>
      <c r="D70" s="14"/>
      <c r="E70" s="14"/>
      <c r="F70" s="14"/>
      <c r="K70" s="11"/>
      <c r="N70" s="14"/>
      <c r="O70" s="14"/>
      <c r="P70" s="14"/>
    </row>
    <row r="71" spans="1:16" x14ac:dyDescent="0.25">
      <c r="A71" s="11"/>
      <c r="D71" s="14"/>
      <c r="E71" s="14"/>
      <c r="F71" s="14"/>
      <c r="K71" s="11"/>
      <c r="N71" s="14"/>
      <c r="O71" s="14"/>
      <c r="P71" s="14"/>
    </row>
    <row r="72" spans="1:16" x14ac:dyDescent="0.25">
      <c r="A72" s="11"/>
      <c r="D72" s="14"/>
      <c r="E72" s="14"/>
      <c r="F72" s="14"/>
      <c r="K72" s="11"/>
      <c r="N72" s="14"/>
      <c r="O72" s="14"/>
      <c r="P72" s="14"/>
    </row>
  </sheetData>
  <sortState ref="J1:J2">
    <sortCondition ref="J2"/>
  </sortState>
  <mergeCells count="6">
    <mergeCell ref="A27:F27"/>
    <mergeCell ref="K27:P27"/>
    <mergeCell ref="K1:S1"/>
    <mergeCell ref="A1:I1"/>
    <mergeCell ref="K2:S2"/>
    <mergeCell ref="A2:I2"/>
  </mergeCells>
  <conditionalFormatting sqref="D26">
    <cfRule type="cellIs" dxfId="13" priority="21" operator="lessThan">
      <formula>0</formula>
    </cfRule>
    <cfRule type="cellIs" dxfId="12" priority="22" operator="greaterThan">
      <formula>0</formula>
    </cfRule>
  </conditionalFormatting>
  <conditionalFormatting sqref="N26">
    <cfRule type="cellIs" dxfId="11" priority="19" operator="lessThan">
      <formula>0</formula>
    </cfRule>
    <cfRule type="cellIs" dxfId="10" priority="20" operator="greaterThan">
      <formula>0</formula>
    </cfRule>
  </conditionalFormatting>
  <conditionalFormatting sqref="E26">
    <cfRule type="cellIs" dxfId="9" priority="17" operator="lessThan">
      <formula>1</formula>
    </cfRule>
    <cfRule type="cellIs" dxfId="8" priority="18" operator="greaterThan">
      <formula>1</formula>
    </cfRule>
  </conditionalFormatting>
  <conditionalFormatting sqref="O26">
    <cfRule type="cellIs" dxfId="7" priority="15" operator="lessThan">
      <formula>1</formula>
    </cfRule>
    <cfRule type="cellIs" dxfId="6" priority="16" operator="greaterThan">
      <formula>1</formula>
    </cfRule>
  </conditionalFormatting>
  <conditionalFormatting sqref="F26">
    <cfRule type="containsText" dxfId="5" priority="11" operator="containsText" text="BUY">
      <formula>NOT(ISERROR(SEARCH("BUY",F26)))</formula>
    </cfRule>
    <cfRule type="containsText" dxfId="4" priority="12" operator="containsText" text="SELL">
      <formula>NOT(ISERROR(SEARCH("SELL",F26)))</formula>
    </cfRule>
  </conditionalFormatting>
  <conditionalFormatting sqref="P26">
    <cfRule type="containsText" dxfId="3" priority="9" operator="containsText" text="BUY">
      <formula>NOT(ISERROR(SEARCH("BUY",P26)))</formula>
    </cfRule>
    <cfRule type="containsText" dxfId="2" priority="10" operator="containsText" text="SELL">
      <formula>NOT(ISERROR(SEARCH("SELL",P26)))</formula>
    </cfRule>
  </conditionalFormatting>
  <conditionalFormatting sqref="I6:I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{F1AE6844-2064-4528-92BA-44886575FDD7}</x14:id>
        </ext>
      </extLst>
    </cfRule>
  </conditionalFormatting>
  <conditionalFormatting sqref="D6:D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{4A745DD8-292F-4559-87EE-192BBD6A08D7}</x14:id>
        </ext>
      </extLst>
    </cfRule>
  </conditionalFormatting>
  <conditionalFormatting sqref="H6:H22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{7FEF0DAA-74DD-48FA-BBD8-B5CE797611EF}</x14:id>
        </ext>
      </extLst>
    </cfRule>
  </conditionalFormatting>
  <conditionalFormatting sqref="C6:C22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{87F50311-7D90-4702-9463-5D88B072DEF3}</x14:id>
        </ext>
      </extLst>
    </cfRule>
  </conditionalFormatting>
  <conditionalFormatting sqref="N6:N22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{BF0BD551-128F-4F98-94F3-3F1044023BEE}</x14:id>
        </ext>
      </extLst>
    </cfRule>
  </conditionalFormatting>
  <conditionalFormatting sqref="M6:M2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{44CEBB46-75BC-457E-9BBA-B463B1A62A67}</x14:id>
        </ext>
      </extLst>
    </cfRule>
  </conditionalFormatting>
  <conditionalFormatting sqref="R6:R22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{82FB0519-F847-49EB-B817-6469F126C0C4}</x14:id>
        </ext>
      </extLst>
    </cfRule>
  </conditionalFormatting>
  <conditionalFormatting sqref="S6:S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{E17705DF-45FF-4190-B89B-0DDC4D7EF17A}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AE6844-2064-4528-92BA-44886575FD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I6:I22</xm:sqref>
        </x14:conditionalFormatting>
        <x14:conditionalFormatting xmlns:xm="http://schemas.microsoft.com/office/excel/2006/main">
          <x14:cfRule type="dataBar" id="{4A745DD8-292F-4559-87EE-192BBD6A08D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D6:D22</xm:sqref>
        </x14:conditionalFormatting>
        <x14:conditionalFormatting xmlns:xm="http://schemas.microsoft.com/office/excel/2006/main">
          <x14:cfRule type="dataBar" id="{7FEF0DAA-74DD-48FA-BBD8-B5CE797611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H6:H22</xm:sqref>
        </x14:conditionalFormatting>
        <x14:conditionalFormatting xmlns:xm="http://schemas.microsoft.com/office/excel/2006/main">
          <x14:cfRule type="dataBar" id="{87F50311-7D90-4702-9463-5D88B072DEF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C6:C22</xm:sqref>
        </x14:conditionalFormatting>
        <x14:conditionalFormatting xmlns:xm="http://schemas.microsoft.com/office/excel/2006/main">
          <x14:cfRule type="dataBar" id="{BF0BD551-128F-4F98-94F3-3F1044023B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N6:N22</xm:sqref>
        </x14:conditionalFormatting>
        <x14:conditionalFormatting xmlns:xm="http://schemas.microsoft.com/office/excel/2006/main">
          <x14:cfRule type="dataBar" id="{44CEBB46-75BC-457E-9BBA-B463B1A62A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M6:M22</xm:sqref>
        </x14:conditionalFormatting>
        <x14:conditionalFormatting xmlns:xm="http://schemas.microsoft.com/office/excel/2006/main">
          <x14:cfRule type="dataBar" id="{82FB0519-F847-49EB-B817-6469F126C0C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R6:R22</xm:sqref>
        </x14:conditionalFormatting>
        <x14:conditionalFormatting xmlns:xm="http://schemas.microsoft.com/office/excel/2006/main">
          <x14:cfRule type="dataBar" id="{E17705DF-45FF-4190-B89B-0DDC4D7EF17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S6:S22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EAF894-6D3B-46FF-9B41-EFDF99D8B8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Nifty</vt:lpstr>
      <vt:lpstr>BankNifty</vt:lpstr>
      <vt:lpstr>Cookies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Roopesh Sharma</dc:creator>
  <cp:lastModifiedBy>Roopesh Sharma</cp:lastModifiedBy>
  <dcterms:created xsi:type="dcterms:W3CDTF">2022-02-11T19:19:17Z</dcterms:created>
  <dcterms:modified xsi:type="dcterms:W3CDTF">2022-09-08T09:11:15Z</dcterms:modified>
</cp:coreProperties>
</file>